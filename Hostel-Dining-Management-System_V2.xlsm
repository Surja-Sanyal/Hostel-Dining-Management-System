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General Work\"/>
    </mc:Choice>
  </mc:AlternateContent>
  <xr:revisionPtr revIDLastSave="0" documentId="13_ncr:1_{AF8922E6-E5D8-4C04-8401-9F29DE3DB1D7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Boarder-List" sheetId="2" r:id="rId1"/>
    <sheet name="BoarderDateWise-Sales" sheetId="17" r:id="rId2"/>
    <sheet name="Boarder-Sales" sheetId="16" r:id="rId3"/>
    <sheet name="Today_02-01-25" sheetId="1" r:id="rId4"/>
    <sheet name="01-01-25" sheetId="1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7" l="1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N9" i="1" l="1" a="1"/>
  <c r="N3" i="1" a="1"/>
  <c r="N4" i="1" a="1"/>
  <c r="N6" i="1" a="1"/>
  <c r="N11" i="1" a="1"/>
  <c r="N7" i="1" a="1"/>
  <c r="N10" i="1" a="1"/>
  <c r="N5" i="1" a="1"/>
  <c r="N8" i="1" a="1"/>
  <c r="N2" i="1" a="1"/>
  <c r="N2" i="1" l="1"/>
  <c r="N8" i="1"/>
  <c r="D8" i="17" s="1"/>
  <c r="N5" i="1"/>
  <c r="D5" i="17" s="1"/>
  <c r="N10" i="1"/>
  <c r="D10" i="17" s="1"/>
  <c r="N7" i="1"/>
  <c r="D7" i="17" s="1"/>
  <c r="N11" i="1"/>
  <c r="D11" i="17" s="1"/>
  <c r="N6" i="1"/>
  <c r="D6" i="17" s="1"/>
  <c r="N4" i="1"/>
  <c r="D4" i="17" s="1"/>
  <c r="N3" i="1"/>
  <c r="D3" i="17" s="1"/>
  <c r="N9" i="1"/>
  <c r="D9" i="17" s="1"/>
  <c r="C3" i="17"/>
  <c r="C10" i="17"/>
  <c r="C6" i="17"/>
  <c r="C8" i="17"/>
  <c r="C9" i="17"/>
  <c r="C5" i="17"/>
  <c r="C7" i="17"/>
  <c r="C11" i="17"/>
  <c r="C4" i="17"/>
  <c r="C4" i="16" l="1"/>
  <c r="C11" i="16"/>
  <c r="C7" i="16"/>
  <c r="C5" i="16"/>
  <c r="C9" i="16"/>
  <c r="C8" i="16"/>
  <c r="C6" i="16"/>
  <c r="C10" i="16"/>
  <c r="C3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<sst xmlns="http://schemas.openxmlformats.org/spreadsheetml/2006/main" count="170" uniqueCount="37">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</sst>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</cellXfs>
  <cellStyles count="1">
    <cellStyle name="Normal" xfId="0" builtinId="0"/>
  </cellStyles>
  <dxfs count="20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 val="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G$2" max="100" page="10" val="0"/>
</file>

<file path=xl/ctrlProps/ctrlProp13.xml><?xml version="1.0" encoding="utf-8"?>
<formControlPr xmlns="http://schemas.microsoft.com/office/spreadsheetml/2009/9/main" objectType="Spin" dx="22" fmlaLink="$G$3" max="100" page="10" val="0"/>
</file>

<file path=xl/ctrlProps/ctrlProp14.xml><?xml version="1.0" encoding="utf-8"?>
<formControlPr xmlns="http://schemas.microsoft.com/office/spreadsheetml/2009/9/main" objectType="Spin" dx="22" fmlaLink="$G$4" max="100" page="10" val="0"/>
</file>

<file path=xl/ctrlProps/ctrlProp15.xml><?xml version="1.0" encoding="utf-8"?>
<formControlPr xmlns="http://schemas.microsoft.com/office/spreadsheetml/2009/9/main" objectType="Spin" dx="22" fmlaLink="$G$5" max="100" page="10" val="0"/>
</file>

<file path=xl/ctrlProps/ctrlProp16.xml><?xml version="1.0" encoding="utf-8"?>
<formControlPr xmlns="http://schemas.microsoft.com/office/spreadsheetml/2009/9/main" objectType="Spin" dx="22" fmlaLink="$G$6" max="100" page="10" val="0"/>
</file>

<file path=xl/ctrlProps/ctrlProp17.xml><?xml version="1.0" encoding="utf-8"?>
<formControlPr xmlns="http://schemas.microsoft.com/office/spreadsheetml/2009/9/main" objectType="Spin" dx="22" fmlaLink="$G$7" max="100" page="10" val="0"/>
</file>

<file path=xl/ctrlProps/ctrlProp18.xml><?xml version="1.0" encoding="utf-8"?>
<formControlPr xmlns="http://schemas.microsoft.com/office/spreadsheetml/2009/9/main" objectType="Spin" dx="22" fmlaLink="$G$8" max="100" page="10" val="0"/>
</file>

<file path=xl/ctrlProps/ctrlProp19.xml><?xml version="1.0" encoding="utf-8"?>
<formControlPr xmlns="http://schemas.microsoft.com/office/spreadsheetml/2009/9/main" objectType="Spin" dx="22" fmlaLink="$G$9" max="100" page="10" val="0"/>
</file>

<file path=xl/ctrlProps/ctrlProp20.xml><?xml version="1.0" encoding="utf-8"?>
<formControlPr xmlns="http://schemas.microsoft.com/office/spreadsheetml/2009/9/main" objectType="Spin" dx="22" fmlaLink="$G$10" max="100" page="10" val="0"/>
</file>

<file path=xl/ctrlProps/ctrlProp21.xml><?xml version="1.0" encoding="utf-8"?>
<formControlPr xmlns="http://schemas.microsoft.com/office/spreadsheetml/2009/9/main" objectType="Spin" dx="22" fmlaLink="$G$11" max="100" page="10" val="0"/>
</file>

<file path=xl/ctrlProps/ctrlProp22.xml><?xml version="1.0" encoding="utf-8"?>
<formControlPr xmlns="http://schemas.microsoft.com/office/spreadsheetml/2009/9/main" objectType="Spin" dx="22" fmlaLink="$H$2" max="100" page="10" val="0"/>
</file>

<file path=xl/ctrlProps/ctrlProp23.xml><?xml version="1.0" encoding="utf-8"?>
<formControlPr xmlns="http://schemas.microsoft.com/office/spreadsheetml/2009/9/main" objectType="Spin" dx="22" fmlaLink="$H$3" max="100" page="10" val="0"/>
</file>

<file path=xl/ctrlProps/ctrlProp24.xml><?xml version="1.0" encoding="utf-8"?>
<formControlPr xmlns="http://schemas.microsoft.com/office/spreadsheetml/2009/9/main" objectType="Spin" dx="22" fmlaLink="$H$4" max="100" page="10" val="0"/>
</file>

<file path=xl/ctrlProps/ctrlProp25.xml><?xml version="1.0" encoding="utf-8"?>
<formControlPr xmlns="http://schemas.microsoft.com/office/spreadsheetml/2009/9/main" objectType="Spin" dx="22" fmlaLink="$H$5" max="100" page="10" val="0"/>
</file>

<file path=xl/ctrlProps/ctrlProp26.xml><?xml version="1.0" encoding="utf-8"?>
<formControlPr xmlns="http://schemas.microsoft.com/office/spreadsheetml/2009/9/main" objectType="Spin" dx="22" fmlaLink="$H$6" max="100" page="10" val="0"/>
</file>

<file path=xl/ctrlProps/ctrlProp27.xml><?xml version="1.0" encoding="utf-8"?>
<formControlPr xmlns="http://schemas.microsoft.com/office/spreadsheetml/2009/9/main" objectType="Spin" dx="22" fmlaLink="$H$7" max="100" page="10" val="0"/>
</file>

<file path=xl/ctrlProps/ctrlProp28.xml><?xml version="1.0" encoding="utf-8"?>
<formControlPr xmlns="http://schemas.microsoft.com/office/spreadsheetml/2009/9/main" objectType="Spin" dx="22" fmlaLink="$H$8" max="100" page="10" val="0"/>
</file>

<file path=xl/ctrlProps/ctrlProp29.xml><?xml version="1.0" encoding="utf-8"?>
<formControlPr xmlns="http://schemas.microsoft.com/office/spreadsheetml/2009/9/main" objectType="Spin" dx="22" fmlaLink="$H$9" max="100" page="10" val="0"/>
</file>

<file path=xl/ctrlProps/ctrlProp30.xml><?xml version="1.0" encoding="utf-8"?>
<formControlPr xmlns="http://schemas.microsoft.com/office/spreadsheetml/2009/9/main" objectType="Spin" dx="22" fmlaLink="$H$10" max="100" page="10" val="0"/>
</file>

<file path=xl/ctrlProps/ctrlProp31.xml><?xml version="1.0" encoding="utf-8"?>
<formControlPr xmlns="http://schemas.microsoft.com/office/spreadsheetml/2009/9/main" objectType="Spin" dx="22" fmlaLink="$H$11" max="100" page="10" val="0"/>
</file>

<file path=xl/ctrlProps/ctrlProp32.xml><?xml version="1.0" encoding="utf-8"?>
<formControlPr xmlns="http://schemas.microsoft.com/office/spreadsheetml/2009/9/main" objectType="Spin" dx="22" fmlaLink="$I$2" max="100" page="10" val="0"/>
</file>

<file path=xl/ctrlProps/ctrlProp33.xml><?xml version="1.0" encoding="utf-8"?>
<formControlPr xmlns="http://schemas.microsoft.com/office/spreadsheetml/2009/9/main" objectType="Spin" dx="22" fmlaLink="$I$3" max="100" page="10" val="0"/>
</file>

<file path=xl/ctrlProps/ctrlProp34.xml><?xml version="1.0" encoding="utf-8"?>
<formControlPr xmlns="http://schemas.microsoft.com/office/spreadsheetml/2009/9/main" objectType="Spin" dx="22" fmlaLink="$I$4" max="100" page="10" val="0"/>
</file>

<file path=xl/ctrlProps/ctrlProp35.xml><?xml version="1.0" encoding="utf-8"?>
<formControlPr xmlns="http://schemas.microsoft.com/office/spreadsheetml/2009/9/main" objectType="Spin" dx="22" fmlaLink="$I$5" max="100" page="10" val="0"/>
</file>

<file path=xl/ctrlProps/ctrlProp36.xml><?xml version="1.0" encoding="utf-8"?>
<formControlPr xmlns="http://schemas.microsoft.com/office/spreadsheetml/2009/9/main" objectType="Spin" dx="22" fmlaLink="$I$6" max="100" page="10" val="0"/>
</file>

<file path=xl/ctrlProps/ctrlProp37.xml><?xml version="1.0" encoding="utf-8"?>
<formControlPr xmlns="http://schemas.microsoft.com/office/spreadsheetml/2009/9/main" objectType="Spin" dx="22" fmlaLink="$I$7" max="100" page="10" val="0"/>
</file>

<file path=xl/ctrlProps/ctrlProp38.xml><?xml version="1.0" encoding="utf-8"?>
<formControlPr xmlns="http://schemas.microsoft.com/office/spreadsheetml/2009/9/main" objectType="Spin" dx="22" fmlaLink="$I$8" max="100" page="10" val="0"/>
</file>

<file path=xl/ctrlProps/ctrlProp39.xml><?xml version="1.0" encoding="utf-8"?>
<formControlPr xmlns="http://schemas.microsoft.com/office/spreadsheetml/2009/9/main" objectType="Spin" dx="22" fmlaLink="$I$9" max="100" page="10" val="0"/>
</file>

<file path=xl/ctrlProps/ctrlProp40.xml><?xml version="1.0" encoding="utf-8"?>
<formControlPr xmlns="http://schemas.microsoft.com/office/spreadsheetml/2009/9/main" objectType="Spin" dx="22" fmlaLink="$I$10" max="100" page="10" val="0"/>
</file>

<file path=xl/ctrlProps/ctrlProp41.xml><?xml version="1.0" encoding="utf-8"?>
<formControlPr xmlns="http://schemas.microsoft.com/office/spreadsheetml/2009/9/main" objectType="Spin" dx="22" fmlaLink="$I$11" max="100" page="10" val="0"/>
</file>

<file path=xl/ctrlProps/ctrlProp42.xml><?xml version="1.0" encoding="utf-8"?>
<formControlPr xmlns="http://schemas.microsoft.com/office/spreadsheetml/2009/9/main" objectType="Spin" dx="22" fmlaLink="$J$2" max="100" page="10" val="0"/>
</file>

<file path=xl/ctrlProps/ctrlProp43.xml><?xml version="1.0" encoding="utf-8"?>
<formControlPr xmlns="http://schemas.microsoft.com/office/spreadsheetml/2009/9/main" objectType="Spin" dx="22" fmlaLink="$J$3" max="100" page="10" val="0"/>
</file>

<file path=xl/ctrlProps/ctrlProp44.xml><?xml version="1.0" encoding="utf-8"?>
<formControlPr xmlns="http://schemas.microsoft.com/office/spreadsheetml/2009/9/main" objectType="Spin" dx="22" fmlaLink="$J$4" max="100" page="10" val="0"/>
</file>

<file path=xl/ctrlProps/ctrlProp45.xml><?xml version="1.0" encoding="utf-8"?>
<formControlPr xmlns="http://schemas.microsoft.com/office/spreadsheetml/2009/9/main" objectType="Spin" dx="22" fmlaLink="$J$5" max="100" page="10" val="0"/>
</file>

<file path=xl/ctrlProps/ctrlProp46.xml><?xml version="1.0" encoding="utf-8"?>
<formControlPr xmlns="http://schemas.microsoft.com/office/spreadsheetml/2009/9/main" objectType="Spin" dx="22" fmlaLink="$J$6" max="100" page="10"/>
</file>

<file path=xl/ctrlProps/ctrlProp47.xml><?xml version="1.0" encoding="utf-8"?>
<formControlPr xmlns="http://schemas.microsoft.com/office/spreadsheetml/2009/9/main" objectType="Spin" dx="22" fmlaLink="$J$7" max="100" page="10" val="0"/>
</file>

<file path=xl/ctrlProps/ctrlProp48.xml><?xml version="1.0" encoding="utf-8"?>
<formControlPr xmlns="http://schemas.microsoft.com/office/spreadsheetml/2009/9/main" objectType="Spin" dx="22" fmlaLink="$J$8" max="100" page="10" val="0"/>
</file>

<file path=xl/ctrlProps/ctrlProp49.xml><?xml version="1.0" encoding="utf-8"?>
<formControlPr xmlns="http://schemas.microsoft.com/office/spreadsheetml/2009/9/main" objectType="Spin" dx="22" fmlaLink="$J$9" max="100" page="10" val="0"/>
</file>

<file path=xl/ctrlProps/ctrlProp50.xml><?xml version="1.0" encoding="utf-8"?>
<formControlPr xmlns="http://schemas.microsoft.com/office/spreadsheetml/2009/9/main" objectType="Spin" dx="22" fmlaLink="$J$10" max="100" page="10" val="0"/>
</file>

<file path=xl/ctrlProps/ctrlProp51.xml><?xml version="1.0" encoding="utf-8"?>
<formControlPr xmlns="http://schemas.microsoft.com/office/spreadsheetml/2009/9/main" objectType="Spin" dx="22" fmlaLink="$J$11" max="100" page="10" val="0"/>
</file>

<file path=xl/ctrlProps/ctrlProp52.xml><?xml version="1.0" encoding="utf-8"?>
<formControlPr xmlns="http://schemas.microsoft.com/office/spreadsheetml/2009/9/main" objectType="Spin" dx="22" fmlaLink="$K$2" max="100" page="10" val="0"/>
</file>

<file path=xl/ctrlProps/ctrlProp53.xml><?xml version="1.0" encoding="utf-8"?>
<formControlPr xmlns="http://schemas.microsoft.com/office/spreadsheetml/2009/9/main" objectType="Spin" dx="22" fmlaLink="$K$3" max="100" page="10" val="0"/>
</file>

<file path=xl/ctrlProps/ctrlProp54.xml><?xml version="1.0" encoding="utf-8"?>
<formControlPr xmlns="http://schemas.microsoft.com/office/spreadsheetml/2009/9/main" objectType="Spin" dx="22" fmlaLink="$K$4" max="100" page="10" val="0"/>
</file>

<file path=xl/ctrlProps/ctrlProp55.xml><?xml version="1.0" encoding="utf-8"?>
<formControlPr xmlns="http://schemas.microsoft.com/office/spreadsheetml/2009/9/main" objectType="Spin" dx="22" fmlaLink="$K$5" max="100" page="10" val="0"/>
</file>

<file path=xl/ctrlProps/ctrlProp56.xml><?xml version="1.0" encoding="utf-8"?>
<formControlPr xmlns="http://schemas.microsoft.com/office/spreadsheetml/2009/9/main" objectType="Spin" dx="22" fmlaLink="$K$6" max="100" page="10" val="0"/>
</file>

<file path=xl/ctrlProps/ctrlProp57.xml><?xml version="1.0" encoding="utf-8"?>
<formControlPr xmlns="http://schemas.microsoft.com/office/spreadsheetml/2009/9/main" objectType="Spin" dx="22" fmlaLink="$K$7" max="100" page="10" val="0"/>
</file>

<file path=xl/ctrlProps/ctrlProp58.xml><?xml version="1.0" encoding="utf-8"?>
<formControlPr xmlns="http://schemas.microsoft.com/office/spreadsheetml/2009/9/main" objectType="Spin" dx="22" fmlaLink="$K$8" max="100" page="10" val="0"/>
</file>

<file path=xl/ctrlProps/ctrlProp59.xml><?xml version="1.0" encoding="utf-8"?>
<formControlPr xmlns="http://schemas.microsoft.com/office/spreadsheetml/2009/9/main" objectType="Spin" dx="22" fmlaLink="$K$9" max="100" page="10"/>
</file>

<file path=xl/ctrlProps/ctrlProp60.xml><?xml version="1.0" encoding="utf-8"?>
<formControlPr xmlns="http://schemas.microsoft.com/office/spreadsheetml/2009/9/main" objectType="Spin" dx="22" fmlaLink="$K$10" max="100" page="10" val="0"/>
</file>

<file path=xl/ctrlProps/ctrlProp61.xml><?xml version="1.0" encoding="utf-8"?>
<formControlPr xmlns="http://schemas.microsoft.com/office/spreadsheetml/2009/9/main" objectType="Spin" dx="22" fmlaLink="$K$11" max="100" page="10" val="0"/>
</file>

<file path=xl/ctrlProps/ctrlProp62.xml><?xml version="1.0" encoding="utf-8"?>
<formControlPr xmlns="http://schemas.microsoft.com/office/spreadsheetml/2009/9/main" objectType="Spin" dx="22" fmlaLink="$L$2" max="100" page="10" val="0"/>
</file>

<file path=xl/ctrlProps/ctrlProp63.xml><?xml version="1.0" encoding="utf-8"?>
<formControlPr xmlns="http://schemas.microsoft.com/office/spreadsheetml/2009/9/main" objectType="Spin" dx="22" fmlaLink="$L$3" max="100" page="10" val="0"/>
</file>

<file path=xl/ctrlProps/ctrlProp64.xml><?xml version="1.0" encoding="utf-8"?>
<formControlPr xmlns="http://schemas.microsoft.com/office/spreadsheetml/2009/9/main" objectType="Spin" dx="22" fmlaLink="$L$4" max="100" page="10" val="0"/>
</file>

<file path=xl/ctrlProps/ctrlProp65.xml><?xml version="1.0" encoding="utf-8"?>
<formControlPr xmlns="http://schemas.microsoft.com/office/spreadsheetml/2009/9/main" objectType="Spin" dx="22" fmlaLink="$L$5" max="100" page="10" val="0"/>
</file>

<file path=xl/ctrlProps/ctrlProp66.xml><?xml version="1.0" encoding="utf-8"?>
<formControlPr xmlns="http://schemas.microsoft.com/office/spreadsheetml/2009/9/main" objectType="Spin" dx="22" fmlaLink="$L$6" max="100" page="10" val="0"/>
</file>

<file path=xl/ctrlProps/ctrlProp67.xml><?xml version="1.0" encoding="utf-8"?>
<formControlPr xmlns="http://schemas.microsoft.com/office/spreadsheetml/2009/9/main" objectType="Spin" dx="22" fmlaLink="$L$7" max="100" page="10" val="0"/>
</file>

<file path=xl/ctrlProps/ctrlProp68.xml><?xml version="1.0" encoding="utf-8"?>
<formControlPr xmlns="http://schemas.microsoft.com/office/spreadsheetml/2009/9/main" objectType="Spin" dx="22" fmlaLink="$L$8" max="100" page="10" val="0"/>
</file>

<file path=xl/ctrlProps/ctrlProp69.xml><?xml version="1.0" encoding="utf-8"?>
<formControlPr xmlns="http://schemas.microsoft.com/office/spreadsheetml/2009/9/main" objectType="Spin" dx="22" fmlaLink="$L$9" max="100" page="10" val="0"/>
</file>

<file path=xl/ctrlProps/ctrlProp70.xml><?xml version="1.0" encoding="utf-8"?>
<formControlPr xmlns="http://schemas.microsoft.com/office/spreadsheetml/2009/9/main" objectType="Spin" dx="22" fmlaLink="$L$10" max="100" page="10"/>
</file>

<file path=xl/ctrlProps/ctrlProp71.xml><?xml version="1.0" encoding="utf-8"?>
<formControlPr xmlns="http://schemas.microsoft.com/office/spreadsheetml/2009/9/main" objectType="Spin" dx="22" fmlaLink="$L$11" max="100" page="10" val="0"/>
</file>

<file path=xl/ctrlProps/ctrlProp72.xml><?xml version="1.0" encoding="utf-8"?>
<formControlPr xmlns="http://schemas.microsoft.com/office/spreadsheetml/2009/9/main" objectType="Spin" dx="22" fmlaLink="$M$2" max="100" page="10" val="0"/>
</file>

<file path=xl/ctrlProps/ctrlProp73.xml><?xml version="1.0" encoding="utf-8"?>
<formControlPr xmlns="http://schemas.microsoft.com/office/spreadsheetml/2009/9/main" objectType="Spin" dx="22" fmlaLink="$M$3" max="100" page="10" val="2"/>
</file>

<file path=xl/ctrlProps/ctrlProp74.xml><?xml version="1.0" encoding="utf-8"?>
<formControlPr xmlns="http://schemas.microsoft.com/office/spreadsheetml/2009/9/main" objectType="Spin" dx="22" fmlaLink="$M$4" max="100" page="10" val="0"/>
</file>

<file path=xl/ctrlProps/ctrlProp75.xml><?xml version="1.0" encoding="utf-8"?>
<formControlPr xmlns="http://schemas.microsoft.com/office/spreadsheetml/2009/9/main" objectType="Spin" dx="22" fmlaLink="$M$5" max="100" page="10" val="0"/>
</file>

<file path=xl/ctrlProps/ctrlProp76.xml><?xml version="1.0" encoding="utf-8"?>
<formControlPr xmlns="http://schemas.microsoft.com/office/spreadsheetml/2009/9/main" objectType="Spin" dx="22" fmlaLink="$M$6" max="100" page="10" val="0"/>
</file>

<file path=xl/ctrlProps/ctrlProp77.xml><?xml version="1.0" encoding="utf-8"?>
<formControlPr xmlns="http://schemas.microsoft.com/office/spreadsheetml/2009/9/main" objectType="Spin" dx="22" fmlaLink="$M$7" max="100" page="10" val="0"/>
</file>

<file path=xl/ctrlProps/ctrlProp78.xml><?xml version="1.0" encoding="utf-8"?>
<formControlPr xmlns="http://schemas.microsoft.com/office/spreadsheetml/2009/9/main" objectType="Spin" dx="22" fmlaLink="$M$8" max="100" page="10" val="0"/>
</file>

<file path=xl/ctrlProps/ctrlProp79.xml><?xml version="1.0" encoding="utf-8"?>
<formControlPr xmlns="http://schemas.microsoft.com/office/spreadsheetml/2009/9/main" objectType="Spin" dx="22" fmlaLink="$M$9" max="100" page="10" val="0"/>
</file>

<file path=xl/ctrlProps/ctrlProp80.xml><?xml version="1.0" encoding="utf-8"?>
<formControlPr xmlns="http://schemas.microsoft.com/office/spreadsheetml/2009/9/main" objectType="Spin" dx="22" fmlaLink="$M$10" max="100" page="10" val="0"/>
</file>

<file path=xl/ctrlProps/ctrlProp81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3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316" name="Spinner 3356" hidden="1">
              <a:extLst>
                <a:ext uri="{63B3BB69-23CF-44E3-9099-C40C66FF867C}">
                  <a14:compatExt spid="_x0000_s44316"/>
                </a:ext>
                <a:ext uri="{FF2B5EF4-FFF2-40B4-BE49-F238E27FC236}">
                  <a16:creationId xmlns:a16="http://schemas.microsoft.com/office/drawing/2014/main" id="{00000000-0008-0000-0300-00001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317" name="Spinner 3357" hidden="1">
              <a:extLst>
                <a:ext uri="{63B3BB69-23CF-44E3-9099-C40C66FF867C}">
                  <a14:compatExt spid="_x0000_s44317"/>
                </a:ext>
                <a:ext uri="{FF2B5EF4-FFF2-40B4-BE49-F238E27FC236}">
                  <a16:creationId xmlns:a16="http://schemas.microsoft.com/office/drawing/2014/main" id="{00000000-0008-0000-0300-00001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318" name="Spinner 3358" hidden="1">
              <a:extLst>
                <a:ext uri="{63B3BB69-23CF-44E3-9099-C40C66FF867C}">
                  <a14:compatExt spid="_x0000_s44318"/>
                </a:ext>
                <a:ext uri="{FF2B5EF4-FFF2-40B4-BE49-F238E27FC236}">
                  <a16:creationId xmlns:a16="http://schemas.microsoft.com/office/drawing/2014/main" id="{00000000-0008-0000-0300-00001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319" name="Spinner 3359" hidden="1">
              <a:extLst>
                <a:ext uri="{63B3BB69-23CF-44E3-9099-C40C66FF867C}">
                  <a14:compatExt spid="_x0000_s44319"/>
                </a:ext>
                <a:ext uri="{FF2B5EF4-FFF2-40B4-BE49-F238E27FC236}">
                  <a16:creationId xmlns:a16="http://schemas.microsoft.com/office/drawing/2014/main" id="{00000000-0008-0000-0300-00001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320" name="Spinner 3360" hidden="1">
              <a:extLst>
                <a:ext uri="{63B3BB69-23CF-44E3-9099-C40C66FF867C}">
                  <a14:compatExt spid="_x0000_s44320"/>
                </a:ext>
                <a:ext uri="{FF2B5EF4-FFF2-40B4-BE49-F238E27FC236}">
                  <a16:creationId xmlns:a16="http://schemas.microsoft.com/office/drawing/2014/main" id="{00000000-0008-0000-0300-00002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321" name="Spinner 3361" hidden="1">
              <a:extLst>
                <a:ext uri="{63B3BB69-23CF-44E3-9099-C40C66FF867C}">
                  <a14:compatExt spid="_x0000_s44321"/>
                </a:ext>
                <a:ext uri="{FF2B5EF4-FFF2-40B4-BE49-F238E27FC236}">
                  <a16:creationId xmlns:a16="http://schemas.microsoft.com/office/drawing/2014/main" id="{00000000-0008-0000-0300-00002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322" name="Spinner 3362" hidden="1">
              <a:extLst>
                <a:ext uri="{63B3BB69-23CF-44E3-9099-C40C66FF867C}">
                  <a14:compatExt spid="_x0000_s44322"/>
                </a:ext>
                <a:ext uri="{FF2B5EF4-FFF2-40B4-BE49-F238E27FC236}">
                  <a16:creationId xmlns:a16="http://schemas.microsoft.com/office/drawing/2014/main" id="{00000000-0008-0000-0300-00002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323" name="Spinner 3363" hidden="1">
              <a:extLst>
                <a:ext uri="{63B3BB69-23CF-44E3-9099-C40C66FF867C}">
                  <a14:compatExt spid="_x0000_s44323"/>
                </a:ext>
                <a:ext uri="{FF2B5EF4-FFF2-40B4-BE49-F238E27FC236}">
                  <a16:creationId xmlns:a16="http://schemas.microsoft.com/office/drawing/2014/main" id="{00000000-0008-0000-0300-00002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324" name="Spinner 3364" hidden="1">
              <a:extLst>
                <a:ext uri="{63B3BB69-23CF-44E3-9099-C40C66FF867C}">
                  <a14:compatExt spid="_x0000_s44324"/>
                </a:ext>
                <a:ext uri="{FF2B5EF4-FFF2-40B4-BE49-F238E27FC236}">
                  <a16:creationId xmlns:a16="http://schemas.microsoft.com/office/drawing/2014/main" id="{00000000-0008-0000-0300-00002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325" name="Spinner 3365" hidden="1">
              <a:extLst>
                <a:ext uri="{63B3BB69-23CF-44E3-9099-C40C66FF867C}">
                  <a14:compatExt spid="_x0000_s44325"/>
                </a:ext>
                <a:ext uri="{FF2B5EF4-FFF2-40B4-BE49-F238E27FC236}">
                  <a16:creationId xmlns:a16="http://schemas.microsoft.com/office/drawing/2014/main" id="{00000000-0008-0000-0300-00002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326" name="Spinner 3366" hidden="1">
              <a:extLst>
                <a:ext uri="{63B3BB69-23CF-44E3-9099-C40C66FF867C}">
                  <a14:compatExt spid="_x0000_s44326"/>
                </a:ext>
                <a:ext uri="{FF2B5EF4-FFF2-40B4-BE49-F238E27FC236}">
                  <a16:creationId xmlns:a16="http://schemas.microsoft.com/office/drawing/2014/main" id="{00000000-0008-0000-0300-00002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327" name="Spinner 3367" hidden="1">
              <a:extLst>
                <a:ext uri="{63B3BB69-23CF-44E3-9099-C40C66FF867C}">
                  <a14:compatExt spid="_x0000_s44327"/>
                </a:ext>
                <a:ext uri="{FF2B5EF4-FFF2-40B4-BE49-F238E27FC236}">
                  <a16:creationId xmlns:a16="http://schemas.microsoft.com/office/drawing/2014/main" id="{00000000-0008-0000-0300-00002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328" name="Spinner 3368" hidden="1">
              <a:extLst>
                <a:ext uri="{63B3BB69-23CF-44E3-9099-C40C66FF867C}">
                  <a14:compatExt spid="_x0000_s44328"/>
                </a:ext>
                <a:ext uri="{FF2B5EF4-FFF2-40B4-BE49-F238E27FC236}">
                  <a16:creationId xmlns:a16="http://schemas.microsoft.com/office/drawing/2014/main" id="{00000000-0008-0000-0300-00002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329" name="Spinner 3369" hidden="1">
              <a:extLst>
                <a:ext uri="{63B3BB69-23CF-44E3-9099-C40C66FF867C}">
                  <a14:compatExt spid="_x0000_s44329"/>
                </a:ext>
                <a:ext uri="{FF2B5EF4-FFF2-40B4-BE49-F238E27FC236}">
                  <a16:creationId xmlns:a16="http://schemas.microsoft.com/office/drawing/2014/main" id="{00000000-0008-0000-0300-00002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330" name="Spinner 3370" hidden="1">
              <a:extLst>
                <a:ext uri="{63B3BB69-23CF-44E3-9099-C40C66FF867C}">
                  <a14:compatExt spid="_x0000_s44330"/>
                </a:ext>
                <a:ext uri="{FF2B5EF4-FFF2-40B4-BE49-F238E27FC236}">
                  <a16:creationId xmlns:a16="http://schemas.microsoft.com/office/drawing/2014/main" id="{00000000-0008-0000-0300-00002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331" name="Spinner 3371" hidden="1">
              <a:extLst>
                <a:ext uri="{63B3BB69-23CF-44E3-9099-C40C66FF867C}">
                  <a14:compatExt spid="_x0000_s44331"/>
                </a:ext>
                <a:ext uri="{FF2B5EF4-FFF2-40B4-BE49-F238E27FC236}">
                  <a16:creationId xmlns:a16="http://schemas.microsoft.com/office/drawing/2014/main" id="{00000000-0008-0000-0300-00002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332" name="Spinner 3372" hidden="1">
              <a:extLst>
                <a:ext uri="{63B3BB69-23CF-44E3-9099-C40C66FF867C}">
                  <a14:compatExt spid="_x0000_s44332"/>
                </a:ext>
                <a:ext uri="{FF2B5EF4-FFF2-40B4-BE49-F238E27FC236}">
                  <a16:creationId xmlns:a16="http://schemas.microsoft.com/office/drawing/2014/main" id="{00000000-0008-0000-0300-00002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333" name="Spinner 3373" hidden="1">
              <a:extLst>
                <a:ext uri="{63B3BB69-23CF-44E3-9099-C40C66FF867C}">
                  <a14:compatExt spid="_x0000_s44333"/>
                </a:ext>
                <a:ext uri="{FF2B5EF4-FFF2-40B4-BE49-F238E27FC236}">
                  <a16:creationId xmlns:a16="http://schemas.microsoft.com/office/drawing/2014/main" id="{00000000-0008-0000-0300-00002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334" name="Spinner 3374" hidden="1">
              <a:extLst>
                <a:ext uri="{63B3BB69-23CF-44E3-9099-C40C66FF867C}">
                  <a14:compatExt spid="_x0000_s44334"/>
                </a:ext>
                <a:ext uri="{FF2B5EF4-FFF2-40B4-BE49-F238E27FC236}">
                  <a16:creationId xmlns:a16="http://schemas.microsoft.com/office/drawing/2014/main" id="{00000000-0008-0000-0300-00002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335" name="Spinner 3375" hidden="1">
              <a:extLst>
                <a:ext uri="{63B3BB69-23CF-44E3-9099-C40C66FF867C}">
                  <a14:compatExt spid="_x0000_s44335"/>
                </a:ext>
                <a:ext uri="{FF2B5EF4-FFF2-40B4-BE49-F238E27FC236}">
                  <a16:creationId xmlns:a16="http://schemas.microsoft.com/office/drawing/2014/main" id="{00000000-0008-0000-0300-00002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336" name="Spinner 3376" hidden="1">
              <a:extLst>
                <a:ext uri="{63B3BB69-23CF-44E3-9099-C40C66FF867C}">
                  <a14:compatExt spid="_x0000_s44336"/>
                </a:ext>
                <a:ext uri="{FF2B5EF4-FFF2-40B4-BE49-F238E27FC236}">
                  <a16:creationId xmlns:a16="http://schemas.microsoft.com/office/drawing/2014/main" id="{00000000-0008-0000-0300-00003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337" name="Spinner 3377" hidden="1">
              <a:extLst>
                <a:ext uri="{63B3BB69-23CF-44E3-9099-C40C66FF867C}">
                  <a14:compatExt spid="_x0000_s44337"/>
                </a:ext>
                <a:ext uri="{FF2B5EF4-FFF2-40B4-BE49-F238E27FC236}">
                  <a16:creationId xmlns:a16="http://schemas.microsoft.com/office/drawing/2014/main" id="{00000000-0008-0000-0300-00003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338" name="Spinner 3378" hidden="1">
              <a:extLst>
                <a:ext uri="{63B3BB69-23CF-44E3-9099-C40C66FF867C}">
                  <a14:compatExt spid="_x0000_s44338"/>
                </a:ext>
                <a:ext uri="{FF2B5EF4-FFF2-40B4-BE49-F238E27FC236}">
                  <a16:creationId xmlns:a16="http://schemas.microsoft.com/office/drawing/2014/main" id="{00000000-0008-0000-0300-00003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339" name="Spinner 3379" hidden="1">
              <a:extLst>
                <a:ext uri="{63B3BB69-23CF-44E3-9099-C40C66FF867C}">
                  <a14:compatExt spid="_x0000_s44339"/>
                </a:ext>
                <a:ext uri="{FF2B5EF4-FFF2-40B4-BE49-F238E27FC236}">
                  <a16:creationId xmlns:a16="http://schemas.microsoft.com/office/drawing/2014/main" id="{00000000-0008-0000-0300-00003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340" name="Spinner 3380" hidden="1">
              <a:extLst>
                <a:ext uri="{63B3BB69-23CF-44E3-9099-C40C66FF867C}">
                  <a14:compatExt spid="_x0000_s44340"/>
                </a:ext>
                <a:ext uri="{FF2B5EF4-FFF2-40B4-BE49-F238E27FC236}">
                  <a16:creationId xmlns:a16="http://schemas.microsoft.com/office/drawing/2014/main" id="{00000000-0008-0000-0300-00003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341" name="Spinner 3381" hidden="1">
              <a:extLst>
                <a:ext uri="{63B3BB69-23CF-44E3-9099-C40C66FF867C}">
                  <a14:compatExt spid="_x0000_s44341"/>
                </a:ext>
                <a:ext uri="{FF2B5EF4-FFF2-40B4-BE49-F238E27FC236}">
                  <a16:creationId xmlns:a16="http://schemas.microsoft.com/office/drawing/2014/main" id="{00000000-0008-0000-0300-00003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342" name="Spinner 3382" hidden="1">
              <a:extLst>
                <a:ext uri="{63B3BB69-23CF-44E3-9099-C40C66FF867C}">
                  <a14:compatExt spid="_x0000_s44342"/>
                </a:ext>
                <a:ext uri="{FF2B5EF4-FFF2-40B4-BE49-F238E27FC236}">
                  <a16:creationId xmlns:a16="http://schemas.microsoft.com/office/drawing/2014/main" id="{00000000-0008-0000-0300-00003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343" name="Spinner 3383" hidden="1">
              <a:extLst>
                <a:ext uri="{63B3BB69-23CF-44E3-9099-C40C66FF867C}">
                  <a14:compatExt spid="_x0000_s44343"/>
                </a:ext>
                <a:ext uri="{FF2B5EF4-FFF2-40B4-BE49-F238E27FC236}">
                  <a16:creationId xmlns:a16="http://schemas.microsoft.com/office/drawing/2014/main" id="{00000000-0008-0000-0300-00003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344" name="Spinner 3384" hidden="1">
              <a:extLst>
                <a:ext uri="{63B3BB69-23CF-44E3-9099-C40C66FF867C}">
                  <a14:compatExt spid="_x0000_s44344"/>
                </a:ext>
                <a:ext uri="{FF2B5EF4-FFF2-40B4-BE49-F238E27FC236}">
                  <a16:creationId xmlns:a16="http://schemas.microsoft.com/office/drawing/2014/main" id="{00000000-0008-0000-0300-00003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345" name="Spinner 3385" hidden="1">
              <a:extLst>
                <a:ext uri="{63B3BB69-23CF-44E3-9099-C40C66FF867C}">
                  <a14:compatExt spid="_x0000_s44345"/>
                </a:ext>
                <a:ext uri="{FF2B5EF4-FFF2-40B4-BE49-F238E27FC236}">
                  <a16:creationId xmlns:a16="http://schemas.microsoft.com/office/drawing/2014/main" id="{00000000-0008-0000-0300-00003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346" name="Spinner 3386" hidden="1">
              <a:extLst>
                <a:ext uri="{63B3BB69-23CF-44E3-9099-C40C66FF867C}">
                  <a14:compatExt spid="_x0000_s44346"/>
                </a:ext>
                <a:ext uri="{FF2B5EF4-FFF2-40B4-BE49-F238E27FC236}">
                  <a16:creationId xmlns:a16="http://schemas.microsoft.com/office/drawing/2014/main" id="{00000000-0008-0000-0300-00003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347" name="Spinner 3387" hidden="1">
              <a:extLst>
                <a:ext uri="{63B3BB69-23CF-44E3-9099-C40C66FF867C}">
                  <a14:compatExt spid="_x0000_s44347"/>
                </a:ext>
                <a:ext uri="{FF2B5EF4-FFF2-40B4-BE49-F238E27FC236}">
                  <a16:creationId xmlns:a16="http://schemas.microsoft.com/office/drawing/2014/main" id="{00000000-0008-0000-0300-00003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348" name="Spinner 3388" hidden="1">
              <a:extLst>
                <a:ext uri="{63B3BB69-23CF-44E3-9099-C40C66FF867C}">
                  <a14:compatExt spid="_x0000_s44348"/>
                </a:ext>
                <a:ext uri="{FF2B5EF4-FFF2-40B4-BE49-F238E27FC236}">
                  <a16:creationId xmlns:a16="http://schemas.microsoft.com/office/drawing/2014/main" id="{00000000-0008-0000-0300-00003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349" name="Spinner 3389" hidden="1">
              <a:extLst>
                <a:ext uri="{63B3BB69-23CF-44E3-9099-C40C66FF867C}">
                  <a14:compatExt spid="_x0000_s44349"/>
                </a:ext>
                <a:ext uri="{FF2B5EF4-FFF2-40B4-BE49-F238E27FC236}">
                  <a16:creationId xmlns:a16="http://schemas.microsoft.com/office/drawing/2014/main" id="{00000000-0008-0000-0300-00003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350" name="Spinner 3390" hidden="1">
              <a:extLst>
                <a:ext uri="{63B3BB69-23CF-44E3-9099-C40C66FF867C}">
                  <a14:compatExt spid="_x0000_s44350"/>
                </a:ext>
                <a:ext uri="{FF2B5EF4-FFF2-40B4-BE49-F238E27FC236}">
                  <a16:creationId xmlns:a16="http://schemas.microsoft.com/office/drawing/2014/main" id="{00000000-0008-0000-0300-00003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351" name="Spinner 3391" hidden="1">
              <a:extLst>
                <a:ext uri="{63B3BB69-23CF-44E3-9099-C40C66FF867C}">
                  <a14:compatExt spid="_x0000_s44351"/>
                </a:ext>
                <a:ext uri="{FF2B5EF4-FFF2-40B4-BE49-F238E27FC236}">
                  <a16:creationId xmlns:a16="http://schemas.microsoft.com/office/drawing/2014/main" id="{00000000-0008-0000-0300-00003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352" name="Spinner 3392" hidden="1">
              <a:extLst>
                <a:ext uri="{63B3BB69-23CF-44E3-9099-C40C66FF867C}">
                  <a14:compatExt spid="_x0000_s44352"/>
                </a:ext>
                <a:ext uri="{FF2B5EF4-FFF2-40B4-BE49-F238E27FC236}">
                  <a16:creationId xmlns:a16="http://schemas.microsoft.com/office/drawing/2014/main" id="{00000000-0008-0000-0300-00004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353" name="Spinner 3393" hidden="1">
              <a:extLst>
                <a:ext uri="{63B3BB69-23CF-44E3-9099-C40C66FF867C}">
                  <a14:compatExt spid="_x0000_s44353"/>
                </a:ext>
                <a:ext uri="{FF2B5EF4-FFF2-40B4-BE49-F238E27FC236}">
                  <a16:creationId xmlns:a16="http://schemas.microsoft.com/office/drawing/2014/main" id="{00000000-0008-0000-0300-00004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354" name="Spinner 3394" hidden="1">
              <a:extLst>
                <a:ext uri="{63B3BB69-23CF-44E3-9099-C40C66FF867C}">
                  <a14:compatExt spid="_x0000_s44354"/>
                </a:ext>
                <a:ext uri="{FF2B5EF4-FFF2-40B4-BE49-F238E27FC236}">
                  <a16:creationId xmlns:a16="http://schemas.microsoft.com/office/drawing/2014/main" id="{00000000-0008-0000-0300-00004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355" name="Spinner 3395" hidden="1">
              <a:extLst>
                <a:ext uri="{63B3BB69-23CF-44E3-9099-C40C66FF867C}">
                  <a14:compatExt spid="_x0000_s44355"/>
                </a:ext>
                <a:ext uri="{FF2B5EF4-FFF2-40B4-BE49-F238E27FC236}">
                  <a16:creationId xmlns:a16="http://schemas.microsoft.com/office/drawing/2014/main" id="{00000000-0008-0000-0300-00004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356" name="Spinner 3396" hidden="1">
              <a:extLst>
                <a:ext uri="{63B3BB69-23CF-44E3-9099-C40C66FF867C}">
                  <a14:compatExt spid="_x0000_s44356"/>
                </a:ext>
                <a:ext uri="{FF2B5EF4-FFF2-40B4-BE49-F238E27FC236}">
                  <a16:creationId xmlns:a16="http://schemas.microsoft.com/office/drawing/2014/main" id="{00000000-0008-0000-0300-00004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357" name="Spinner 3397" hidden="1">
              <a:extLst>
                <a:ext uri="{63B3BB69-23CF-44E3-9099-C40C66FF867C}">
                  <a14:compatExt spid="_x0000_s44357"/>
                </a:ext>
                <a:ext uri="{FF2B5EF4-FFF2-40B4-BE49-F238E27FC236}">
                  <a16:creationId xmlns:a16="http://schemas.microsoft.com/office/drawing/2014/main" id="{00000000-0008-0000-0300-00004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358" name="Spinner 3398" hidden="1">
              <a:extLst>
                <a:ext uri="{63B3BB69-23CF-44E3-9099-C40C66FF867C}">
                  <a14:compatExt spid="_x0000_s44358"/>
                </a:ext>
                <a:ext uri="{FF2B5EF4-FFF2-40B4-BE49-F238E27FC236}">
                  <a16:creationId xmlns:a16="http://schemas.microsoft.com/office/drawing/2014/main" id="{00000000-0008-0000-0300-00004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359" name="Spinner 3399" hidden="1">
              <a:extLst>
                <a:ext uri="{63B3BB69-23CF-44E3-9099-C40C66FF867C}">
                  <a14:compatExt spid="_x0000_s44359"/>
                </a:ext>
                <a:ext uri="{FF2B5EF4-FFF2-40B4-BE49-F238E27FC236}">
                  <a16:creationId xmlns:a16="http://schemas.microsoft.com/office/drawing/2014/main" id="{00000000-0008-0000-0300-00004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360" name="Spinner 3400" hidden="1">
              <a:extLst>
                <a:ext uri="{63B3BB69-23CF-44E3-9099-C40C66FF867C}">
                  <a14:compatExt spid="_x0000_s44360"/>
                </a:ext>
                <a:ext uri="{FF2B5EF4-FFF2-40B4-BE49-F238E27FC236}">
                  <a16:creationId xmlns:a16="http://schemas.microsoft.com/office/drawing/2014/main" id="{00000000-0008-0000-0300-00004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361" name="Spinner 3401" hidden="1">
              <a:extLst>
                <a:ext uri="{63B3BB69-23CF-44E3-9099-C40C66FF867C}">
                  <a14:compatExt spid="_x0000_s44361"/>
                </a:ext>
                <a:ext uri="{FF2B5EF4-FFF2-40B4-BE49-F238E27FC236}">
                  <a16:creationId xmlns:a16="http://schemas.microsoft.com/office/drawing/2014/main" id="{00000000-0008-0000-0300-00004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362" name="Spinner 3402" hidden="1">
              <a:extLst>
                <a:ext uri="{63B3BB69-23CF-44E3-9099-C40C66FF867C}">
                  <a14:compatExt spid="_x0000_s44362"/>
                </a:ext>
                <a:ext uri="{FF2B5EF4-FFF2-40B4-BE49-F238E27FC236}">
                  <a16:creationId xmlns:a16="http://schemas.microsoft.com/office/drawing/2014/main" id="{00000000-0008-0000-0300-00004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363" name="Spinner 3403" hidden="1">
              <a:extLst>
                <a:ext uri="{63B3BB69-23CF-44E3-9099-C40C66FF867C}">
                  <a14:compatExt spid="_x0000_s44363"/>
                </a:ext>
                <a:ext uri="{FF2B5EF4-FFF2-40B4-BE49-F238E27FC236}">
                  <a16:creationId xmlns:a16="http://schemas.microsoft.com/office/drawing/2014/main" id="{00000000-0008-0000-0300-00004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364" name="Spinner 3404" hidden="1">
              <a:extLst>
                <a:ext uri="{63B3BB69-23CF-44E3-9099-C40C66FF867C}">
                  <a14:compatExt spid="_x0000_s44364"/>
                </a:ext>
                <a:ext uri="{FF2B5EF4-FFF2-40B4-BE49-F238E27FC236}">
                  <a16:creationId xmlns:a16="http://schemas.microsoft.com/office/drawing/2014/main" id="{00000000-0008-0000-0300-00004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365" name="Spinner 3405" hidden="1">
              <a:extLst>
                <a:ext uri="{63B3BB69-23CF-44E3-9099-C40C66FF867C}">
                  <a14:compatExt spid="_x0000_s44365"/>
                </a:ext>
                <a:ext uri="{FF2B5EF4-FFF2-40B4-BE49-F238E27FC236}">
                  <a16:creationId xmlns:a16="http://schemas.microsoft.com/office/drawing/2014/main" id="{00000000-0008-0000-0300-00004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366" name="Spinner 3406" hidden="1">
              <a:extLst>
                <a:ext uri="{63B3BB69-23CF-44E3-9099-C40C66FF867C}">
                  <a14:compatExt spid="_x0000_s44366"/>
                </a:ext>
                <a:ext uri="{FF2B5EF4-FFF2-40B4-BE49-F238E27FC236}">
                  <a16:creationId xmlns:a16="http://schemas.microsoft.com/office/drawing/2014/main" id="{00000000-0008-0000-0300-00004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367" name="Spinner 3407" hidden="1">
              <a:extLst>
                <a:ext uri="{63B3BB69-23CF-44E3-9099-C40C66FF867C}">
                  <a14:compatExt spid="_x0000_s44367"/>
                </a:ext>
                <a:ext uri="{FF2B5EF4-FFF2-40B4-BE49-F238E27FC236}">
                  <a16:creationId xmlns:a16="http://schemas.microsoft.com/office/drawing/2014/main" id="{00000000-0008-0000-0300-00004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368" name="Spinner 3408" hidden="1">
              <a:extLst>
                <a:ext uri="{63B3BB69-23CF-44E3-9099-C40C66FF867C}">
                  <a14:compatExt spid="_x0000_s44368"/>
                </a:ext>
                <a:ext uri="{FF2B5EF4-FFF2-40B4-BE49-F238E27FC236}">
                  <a16:creationId xmlns:a16="http://schemas.microsoft.com/office/drawing/2014/main" id="{00000000-0008-0000-0300-00005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369" name="Spinner 3409" hidden="1">
              <a:extLst>
                <a:ext uri="{63B3BB69-23CF-44E3-9099-C40C66FF867C}">
                  <a14:compatExt spid="_x0000_s44369"/>
                </a:ext>
                <a:ext uri="{FF2B5EF4-FFF2-40B4-BE49-F238E27FC236}">
                  <a16:creationId xmlns:a16="http://schemas.microsoft.com/office/drawing/2014/main" id="{00000000-0008-0000-0300-00005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370" name="Spinner 3410" hidden="1">
              <a:extLst>
                <a:ext uri="{63B3BB69-23CF-44E3-9099-C40C66FF867C}">
                  <a14:compatExt spid="_x0000_s44370"/>
                </a:ext>
                <a:ext uri="{FF2B5EF4-FFF2-40B4-BE49-F238E27FC236}">
                  <a16:creationId xmlns:a16="http://schemas.microsoft.com/office/drawing/2014/main" id="{00000000-0008-0000-0300-00005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371" name="Spinner 3411" hidden="1">
              <a:extLst>
                <a:ext uri="{63B3BB69-23CF-44E3-9099-C40C66FF867C}">
                  <a14:compatExt spid="_x0000_s44371"/>
                </a:ext>
                <a:ext uri="{FF2B5EF4-FFF2-40B4-BE49-F238E27FC236}">
                  <a16:creationId xmlns:a16="http://schemas.microsoft.com/office/drawing/2014/main" id="{00000000-0008-0000-0300-00005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372" name="Spinner 3412" hidden="1">
              <a:extLst>
                <a:ext uri="{63B3BB69-23CF-44E3-9099-C40C66FF867C}">
                  <a14:compatExt spid="_x0000_s44372"/>
                </a:ext>
                <a:ext uri="{FF2B5EF4-FFF2-40B4-BE49-F238E27FC236}">
                  <a16:creationId xmlns:a16="http://schemas.microsoft.com/office/drawing/2014/main" id="{00000000-0008-0000-0300-00005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373" name="Spinner 3413" hidden="1">
              <a:extLst>
                <a:ext uri="{63B3BB69-23CF-44E3-9099-C40C66FF867C}">
                  <a14:compatExt spid="_x0000_s44373"/>
                </a:ext>
                <a:ext uri="{FF2B5EF4-FFF2-40B4-BE49-F238E27FC236}">
                  <a16:creationId xmlns:a16="http://schemas.microsoft.com/office/drawing/2014/main" id="{00000000-0008-0000-0300-00005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374" name="Spinner 3414" hidden="1">
              <a:extLst>
                <a:ext uri="{63B3BB69-23CF-44E3-9099-C40C66FF867C}">
                  <a14:compatExt spid="_x0000_s44374"/>
                </a:ext>
                <a:ext uri="{FF2B5EF4-FFF2-40B4-BE49-F238E27FC236}">
                  <a16:creationId xmlns:a16="http://schemas.microsoft.com/office/drawing/2014/main" id="{00000000-0008-0000-0300-00005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375" name="Spinner 3415" hidden="1">
              <a:extLst>
                <a:ext uri="{63B3BB69-23CF-44E3-9099-C40C66FF867C}">
                  <a14:compatExt spid="_x0000_s44375"/>
                </a:ext>
                <a:ext uri="{FF2B5EF4-FFF2-40B4-BE49-F238E27FC236}">
                  <a16:creationId xmlns:a16="http://schemas.microsoft.com/office/drawing/2014/main" id="{00000000-0008-0000-0300-00005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376" name="Spinner 3416" hidden="1">
              <a:extLst>
                <a:ext uri="{63B3BB69-23CF-44E3-9099-C40C66FF867C}">
                  <a14:compatExt spid="_x0000_s44376"/>
                </a:ext>
                <a:ext uri="{FF2B5EF4-FFF2-40B4-BE49-F238E27FC236}">
                  <a16:creationId xmlns:a16="http://schemas.microsoft.com/office/drawing/2014/main" id="{00000000-0008-0000-0300-00005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377" name="Spinner 3417" hidden="1">
              <a:extLst>
                <a:ext uri="{63B3BB69-23CF-44E3-9099-C40C66FF867C}">
                  <a14:compatExt spid="_x0000_s44377"/>
                </a:ext>
                <a:ext uri="{FF2B5EF4-FFF2-40B4-BE49-F238E27FC236}">
                  <a16:creationId xmlns:a16="http://schemas.microsoft.com/office/drawing/2014/main" id="{00000000-0008-0000-0300-00005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378" name="Spinner 3418" hidden="1">
              <a:extLst>
                <a:ext uri="{63B3BB69-23CF-44E3-9099-C40C66FF867C}">
                  <a14:compatExt spid="_x0000_s44378"/>
                </a:ext>
                <a:ext uri="{FF2B5EF4-FFF2-40B4-BE49-F238E27FC236}">
                  <a16:creationId xmlns:a16="http://schemas.microsoft.com/office/drawing/2014/main" id="{00000000-0008-0000-0300-00005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379" name="Spinner 3419" hidden="1">
              <a:extLst>
                <a:ext uri="{63B3BB69-23CF-44E3-9099-C40C66FF867C}">
                  <a14:compatExt spid="_x0000_s44379"/>
                </a:ext>
                <a:ext uri="{FF2B5EF4-FFF2-40B4-BE49-F238E27FC236}">
                  <a16:creationId xmlns:a16="http://schemas.microsoft.com/office/drawing/2014/main" id="{00000000-0008-0000-0300-00005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380" name="Spinner 3420" hidden="1">
              <a:extLst>
                <a:ext uri="{63B3BB69-23CF-44E3-9099-C40C66FF867C}">
                  <a14:compatExt spid="_x0000_s44380"/>
                </a:ext>
                <a:ext uri="{FF2B5EF4-FFF2-40B4-BE49-F238E27FC236}">
                  <a16:creationId xmlns:a16="http://schemas.microsoft.com/office/drawing/2014/main" id="{00000000-0008-0000-0300-00005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381" name="Spinner 3421" hidden="1">
              <a:extLst>
                <a:ext uri="{63B3BB69-23CF-44E3-9099-C40C66FF867C}">
                  <a14:compatExt spid="_x0000_s44381"/>
                </a:ext>
                <a:ext uri="{FF2B5EF4-FFF2-40B4-BE49-F238E27FC236}">
                  <a16:creationId xmlns:a16="http://schemas.microsoft.com/office/drawing/2014/main" id="{00000000-0008-0000-0300-00005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382" name="Spinner 3422" hidden="1">
              <a:extLst>
                <a:ext uri="{63B3BB69-23CF-44E3-9099-C40C66FF867C}">
                  <a14:compatExt spid="_x0000_s44382"/>
                </a:ext>
                <a:ext uri="{FF2B5EF4-FFF2-40B4-BE49-F238E27FC236}">
                  <a16:creationId xmlns:a16="http://schemas.microsoft.com/office/drawing/2014/main" id="{00000000-0008-0000-0300-00005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383" name="Spinner 3423" hidden="1">
              <a:extLst>
                <a:ext uri="{63B3BB69-23CF-44E3-9099-C40C66FF867C}">
                  <a14:compatExt spid="_x0000_s44383"/>
                </a:ext>
                <a:ext uri="{FF2B5EF4-FFF2-40B4-BE49-F238E27FC236}">
                  <a16:creationId xmlns:a16="http://schemas.microsoft.com/office/drawing/2014/main" id="{00000000-0008-0000-0300-00005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384" name="Spinner 3424" hidden="1">
              <a:extLst>
                <a:ext uri="{63B3BB69-23CF-44E3-9099-C40C66FF867C}">
                  <a14:compatExt spid="_x0000_s44384"/>
                </a:ext>
                <a:ext uri="{FF2B5EF4-FFF2-40B4-BE49-F238E27FC236}">
                  <a16:creationId xmlns:a16="http://schemas.microsoft.com/office/drawing/2014/main" id="{00000000-0008-0000-0300-00006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385" name="Spinner 3425" hidden="1">
              <a:extLst>
                <a:ext uri="{63B3BB69-23CF-44E3-9099-C40C66FF867C}">
                  <a14:compatExt spid="_x0000_s44385"/>
                </a:ext>
                <a:ext uri="{FF2B5EF4-FFF2-40B4-BE49-F238E27FC236}">
                  <a16:creationId xmlns:a16="http://schemas.microsoft.com/office/drawing/2014/main" id="{00000000-0008-0000-0300-00006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386" name="Spinner 3426" hidden="1">
              <a:extLst>
                <a:ext uri="{63B3BB69-23CF-44E3-9099-C40C66FF867C}">
                  <a14:compatExt spid="_x0000_s44386"/>
                </a:ext>
                <a:ext uri="{FF2B5EF4-FFF2-40B4-BE49-F238E27FC236}">
                  <a16:creationId xmlns:a16="http://schemas.microsoft.com/office/drawing/2014/main" id="{00000000-0008-0000-0300-00006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387" name="Spinner 3427" hidden="1">
              <a:extLst>
                <a:ext uri="{63B3BB69-23CF-44E3-9099-C40C66FF867C}">
                  <a14:compatExt spid="_x0000_s44387"/>
                </a:ext>
                <a:ext uri="{FF2B5EF4-FFF2-40B4-BE49-F238E27FC236}">
                  <a16:creationId xmlns:a16="http://schemas.microsoft.com/office/drawing/2014/main" id="{00000000-0008-0000-0300-00006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388" name="Spinner 3428" hidden="1">
              <a:extLst>
                <a:ext uri="{63B3BB69-23CF-44E3-9099-C40C66FF867C}">
                  <a14:compatExt spid="_x0000_s44388"/>
                </a:ext>
                <a:ext uri="{FF2B5EF4-FFF2-40B4-BE49-F238E27FC236}">
                  <a16:creationId xmlns:a16="http://schemas.microsoft.com/office/drawing/2014/main" id="{00000000-0008-0000-0300-00006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389" name="Spinner 3429" hidden="1">
              <a:extLst>
                <a:ext uri="{63B3BB69-23CF-44E3-9099-C40C66FF867C}">
                  <a14:compatExt spid="_x0000_s44389"/>
                </a:ext>
                <a:ext uri="{FF2B5EF4-FFF2-40B4-BE49-F238E27FC236}">
                  <a16:creationId xmlns:a16="http://schemas.microsoft.com/office/drawing/2014/main" id="{00000000-0008-0000-0300-00006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390" name="Spinner 3430" hidden="1">
              <a:extLst>
                <a:ext uri="{63B3BB69-23CF-44E3-9099-C40C66FF867C}">
                  <a14:compatExt spid="_x0000_s44390"/>
                </a:ext>
                <a:ext uri="{FF2B5EF4-FFF2-40B4-BE49-F238E27FC236}">
                  <a16:creationId xmlns:a16="http://schemas.microsoft.com/office/drawing/2014/main" id="{00000000-0008-0000-0300-00006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391" name="Spinner 3431" hidden="1">
              <a:extLst>
                <a:ext uri="{63B3BB69-23CF-44E3-9099-C40C66FF867C}">
                  <a14:compatExt spid="_x0000_s44391"/>
                </a:ext>
                <a:ext uri="{FF2B5EF4-FFF2-40B4-BE49-F238E27FC236}">
                  <a16:creationId xmlns:a16="http://schemas.microsoft.com/office/drawing/2014/main" id="{00000000-0008-0000-0300-00006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392" name="Spinner 3432" hidden="1">
              <a:extLst>
                <a:ext uri="{63B3BB69-23CF-44E3-9099-C40C66FF867C}">
                  <a14:compatExt spid="_x0000_s44392"/>
                </a:ext>
                <a:ext uri="{FF2B5EF4-FFF2-40B4-BE49-F238E27FC236}">
                  <a16:creationId xmlns:a16="http://schemas.microsoft.com/office/drawing/2014/main" id="{00000000-0008-0000-0300-00006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393" name="Spinner 3433" hidden="1">
              <a:extLst>
                <a:ext uri="{63B3BB69-23CF-44E3-9099-C40C66FF867C}">
                  <a14:compatExt spid="_x0000_s44393"/>
                </a:ext>
                <a:ext uri="{FF2B5EF4-FFF2-40B4-BE49-F238E27FC236}">
                  <a16:creationId xmlns:a16="http://schemas.microsoft.com/office/drawing/2014/main" id="{00000000-0008-0000-0300-00006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394" name="Spinner 3434" hidden="1">
              <a:extLst>
                <a:ext uri="{63B3BB69-23CF-44E3-9099-C40C66FF867C}">
                  <a14:compatExt spid="_x0000_s44394"/>
                </a:ext>
                <a:ext uri="{FF2B5EF4-FFF2-40B4-BE49-F238E27FC236}">
                  <a16:creationId xmlns:a16="http://schemas.microsoft.com/office/drawing/2014/main" id="{00000000-0008-0000-0300-00006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395" name="Spinner 3435" hidden="1">
              <a:extLst>
                <a:ext uri="{63B3BB69-23CF-44E3-9099-C40C66FF867C}">
                  <a14:compatExt spid="_x0000_s44395"/>
                </a:ext>
                <a:ext uri="{FF2B5EF4-FFF2-40B4-BE49-F238E27FC236}">
                  <a16:creationId xmlns:a16="http://schemas.microsoft.com/office/drawing/2014/main" id="{00000000-0008-0000-0300-00006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workbookViewId="0">
      <selection activeCell="B11" sqref="B11"/>
    </sheetView>
  </sheetViews>
  <sheetFormatPr defaultRowHeight="15" x14ac:dyDescent="0.25"/>
  <cols>
    <col min="1" max="1" width="8.7109375" style="1"/>
    <col min="2" max="2" width="12.42578125" style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1">
        <v>1</v>
      </c>
      <c r="B2" s="1" t="s">
        <v>5</v>
      </c>
    </row>
    <row r="3" spans="1:2" x14ac:dyDescent="0.25">
      <c r="A3" s="1">
        <v>2</v>
      </c>
      <c r="B3" s="1" t="s">
        <v>6</v>
      </c>
    </row>
    <row r="4" spans="1:2" x14ac:dyDescent="0.25">
      <c r="A4" s="1">
        <v>3</v>
      </c>
      <c r="B4" s="1" t="s">
        <v>7</v>
      </c>
    </row>
    <row r="5" spans="1:2" x14ac:dyDescent="0.25">
      <c r="A5" s="1">
        <v>4</v>
      </c>
      <c r="B5" s="1" t="s">
        <v>8</v>
      </c>
    </row>
    <row r="6" spans="1:2" x14ac:dyDescent="0.25">
      <c r="A6" s="1">
        <v>5</v>
      </c>
      <c r="B6" s="1" t="s">
        <v>9</v>
      </c>
    </row>
    <row r="7" spans="1:2" x14ac:dyDescent="0.25">
      <c r="A7" s="1">
        <v>6</v>
      </c>
      <c r="B7" s="1" t="s">
        <v>10</v>
      </c>
    </row>
    <row r="8" spans="1:2" x14ac:dyDescent="0.25">
      <c r="A8" s="1">
        <v>7</v>
      </c>
      <c r="B8" s="1" t="s">
        <v>21</v>
      </c>
    </row>
    <row r="9" spans="1:2" x14ac:dyDescent="0.25">
      <c r="A9" s="1">
        <v>8</v>
      </c>
      <c r="B9" s="1" t="s">
        <v>11</v>
      </c>
    </row>
    <row r="10" spans="1:2" x14ac:dyDescent="0.25">
      <c r="A10" s="1">
        <v>9</v>
      </c>
      <c r="B10" s="1" t="s">
        <v>12</v>
      </c>
    </row>
    <row r="11" spans="1:2" x14ac:dyDescent="0.25">
      <c r="A11" s="1">
        <v>10</v>
      </c>
      <c r="B11" s="1" t="s">
        <v>13</v>
      </c>
    </row>
    <row r="12" spans="1:2" x14ac:dyDescent="0.25">
      <c r="A12" s="1">
        <v>11</v>
      </c>
    </row>
    <row r="13" spans="1:2" x14ac:dyDescent="0.25">
      <c r="A13" s="1">
        <v>12</v>
      </c>
    </row>
    <row r="14" spans="1:2" x14ac:dyDescent="0.25">
      <c r="A14" s="1">
        <v>13</v>
      </c>
    </row>
    <row r="15" spans="1:2" x14ac:dyDescent="0.25">
      <c r="A15" s="1">
        <v>14</v>
      </c>
    </row>
    <row r="16" spans="1:2" x14ac:dyDescent="0.2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J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5" width="10.28515625" style="32" bestFit="1" customWidth="1"/>
    <col min="6" max="10" width="9.140625" style="8"/>
  </cols>
  <sheetData>
    <row r="1" spans="1:10" x14ac:dyDescent="0.25">
      <c r="A1" s="2" t="s">
        <v>0</v>
      </c>
      <c r="B1" s="2" t="s">
        <v>1</v>
      </c>
      <c r="C1" s="2" t="s">
        <v>20</v>
      </c>
      <c r="D1" s="4">
        <f ca="1">TODAY()</f>
        <v>45688</v>
      </c>
      <c r="E1" s="30">
        <v>45658</v>
      </c>
      <c r="F1" s="7"/>
      <c r="G1" s="7"/>
      <c r="H1" s="7"/>
      <c r="I1" s="7"/>
      <c r="J1" s="7"/>
    </row>
    <row r="2" spans="1:10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262</v>
      </c>
      <c r="D2" s="3">
        <f ca="1">IF(B2 &lt;&gt; "**Unoccupied**", 'Today_02-01-25'!N2, "-")</f>
        <v>125</v>
      </c>
      <c r="E2" s="31">
        <v>137</v>
      </c>
    </row>
    <row r="3" spans="1:10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224</v>
      </c>
      <c r="D3" s="3">
        <f ca="1">IF(B3 &lt;&gt; "**Unoccupied**", 'Today_02-01-25'!N3, "-")</f>
        <v>99</v>
      </c>
      <c r="E3" s="31">
        <v>125</v>
      </c>
    </row>
    <row r="4" spans="1:10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250</v>
      </c>
      <c r="D4" s="3">
        <f ca="1">IF(B4 &lt;&gt; "**Unoccupied**", 'Today_02-01-25'!N4, "-")</f>
        <v>125</v>
      </c>
      <c r="E4" s="31">
        <v>125</v>
      </c>
    </row>
    <row r="5" spans="1:10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200</v>
      </c>
      <c r="D5" s="3">
        <f ca="1">IF(B5 &lt;&gt; "**Unoccupied**", 'Today_02-01-25'!N5, "-")</f>
        <v>75</v>
      </c>
      <c r="E5" s="31">
        <v>125</v>
      </c>
    </row>
    <row r="6" spans="1:10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275</v>
      </c>
      <c r="D6" s="3">
        <f ca="1">IF(B6 &lt;&gt; "**Unoccupied**", 'Today_02-01-25'!N6, "-")</f>
        <v>150</v>
      </c>
      <c r="E6" s="31">
        <v>125</v>
      </c>
    </row>
    <row r="7" spans="1:10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250</v>
      </c>
      <c r="D7" s="3">
        <f ca="1">IF(B7 &lt;&gt; "**Unoccupied**", 'Today_02-01-25'!N7, "-")</f>
        <v>125</v>
      </c>
      <c r="E7" s="31">
        <v>125</v>
      </c>
    </row>
    <row r="8" spans="1:10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225</v>
      </c>
      <c r="D8" s="3">
        <f ca="1">IF(B8 &lt;&gt; "**Unoccupied**", 'Today_02-01-25'!N8, "-")</f>
        <v>100</v>
      </c>
      <c r="E8" s="31">
        <v>125</v>
      </c>
    </row>
    <row r="9" spans="1:10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260</v>
      </c>
      <c r="D9" s="3">
        <f ca="1">IF(B9 &lt;&gt; "**Unoccupied**", 'Today_02-01-25'!N9, "-")</f>
        <v>135</v>
      </c>
      <c r="E9" s="31">
        <v>125</v>
      </c>
    </row>
    <row r="10" spans="1:10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265</v>
      </c>
      <c r="D10" s="3">
        <f ca="1">IF(B10 &lt;&gt; "**Unoccupied**", 'Today_02-01-25'!N10, "-")</f>
        <v>140</v>
      </c>
      <c r="E10" s="31">
        <v>125</v>
      </c>
    </row>
    <row r="11" spans="1:10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250</v>
      </c>
      <c r="D11" s="3">
        <f ca="1">IF(B11 &lt;&gt; "**Unoccupied**", 'Today_02-01-25'!N11, "-")</f>
        <v>125</v>
      </c>
      <c r="E11" s="31">
        <v>125</v>
      </c>
    </row>
    <row r="12" spans="1:10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'Today_02-01-25'!N12, "-")</f>
        <v>-</v>
      </c>
      <c r="E12" s="31" t="s">
        <v>35</v>
      </c>
    </row>
    <row r="13" spans="1:10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'Today_02-01-25'!N13, "-")</f>
        <v>-</v>
      </c>
      <c r="E13" s="31" t="s">
        <v>35</v>
      </c>
    </row>
    <row r="14" spans="1:10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'Today_02-01-25'!N14, "-")</f>
        <v>-</v>
      </c>
      <c r="E14" s="31"/>
    </row>
    <row r="15" spans="1:10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'Today_02-01-25'!N15, "-")</f>
        <v>-</v>
      </c>
      <c r="E15" s="31"/>
    </row>
    <row r="16" spans="1:10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'Today_02-01-25'!N16, "-")</f>
        <v>-</v>
      </c>
      <c r="E16" s="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262</v>
      </c>
      <c r="D2" s="6">
        <f ca="1">SUM($C:$C)</f>
        <v>2461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224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250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200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275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250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225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260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265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250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zoomScale="130" zoomScaleNormal="130" workbookViewId="0">
      <selection activeCell="G9" sqref="G9"/>
    </sheetView>
  </sheetViews>
  <sheetFormatPr defaultRowHeight="15" x14ac:dyDescent="0.25"/>
  <cols>
    <col min="1" max="1" width="8.710937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32</v>
      </c>
      <c r="D2" s="10" t="s">
        <v>32</v>
      </c>
      <c r="E2" s="10" t="s">
        <v>32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1199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32</v>
      </c>
      <c r="D3" s="10" t="s">
        <v>14</v>
      </c>
      <c r="E3" s="10" t="s">
        <v>32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2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99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32</v>
      </c>
      <c r="D4" s="10" t="s">
        <v>32</v>
      </c>
      <c r="E4" s="10" t="s">
        <v>32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32</v>
      </c>
      <c r="D5" s="10" t="s">
        <v>32</v>
      </c>
      <c r="E5" s="10" t="s">
        <v>14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75</v>
      </c>
      <c r="R5" s="22" t="s">
        <v>33</v>
      </c>
      <c r="S5" s="22">
        <v>12</v>
      </c>
    </row>
    <row r="6" spans="1:32" ht="32.25" customHeight="1" x14ac:dyDescent="0.2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32</v>
      </c>
      <c r="D6" s="10" t="s">
        <v>32</v>
      </c>
      <c r="E6" s="10" t="s">
        <v>32</v>
      </c>
      <c r="F6" s="12">
        <v>0</v>
      </c>
      <c r="G6" s="12">
        <v>0</v>
      </c>
      <c r="H6" s="12">
        <v>0</v>
      </c>
      <c r="I6" s="12">
        <v>0</v>
      </c>
      <c r="J6" s="12">
        <v>1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150</v>
      </c>
      <c r="R6" s="22" t="s">
        <v>34</v>
      </c>
      <c r="S6" s="22">
        <v>25</v>
      </c>
    </row>
    <row r="7" spans="1:32" ht="32.25" customHeight="1" x14ac:dyDescent="0.2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32</v>
      </c>
      <c r="D7" s="10" t="s">
        <v>32</v>
      </c>
      <c r="E7" s="10" t="s">
        <v>32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29</v>
      </c>
      <c r="S7" s="22">
        <v>10</v>
      </c>
    </row>
    <row r="8" spans="1:32" ht="32.25" customHeight="1" x14ac:dyDescent="0.2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14</v>
      </c>
      <c r="D8" s="10" t="s">
        <v>32</v>
      </c>
      <c r="E8" s="10" t="s">
        <v>32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100</v>
      </c>
      <c r="R8" s="22" t="s">
        <v>30</v>
      </c>
      <c r="S8" s="22">
        <v>15</v>
      </c>
    </row>
    <row r="9" spans="1:32" ht="32.25" customHeight="1" x14ac:dyDescent="0.2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32</v>
      </c>
      <c r="D9" s="10" t="s">
        <v>32</v>
      </c>
      <c r="E9" s="10" t="s">
        <v>32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1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135</v>
      </c>
      <c r="R9" s="22" t="s">
        <v>31</v>
      </c>
      <c r="S9" s="22">
        <v>12</v>
      </c>
    </row>
    <row r="10" spans="1:32" ht="32.25" customHeight="1" x14ac:dyDescent="0.2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32</v>
      </c>
      <c r="D10" s="10" t="s">
        <v>32</v>
      </c>
      <c r="E10" s="10" t="s">
        <v>32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1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140</v>
      </c>
    </row>
    <row r="11" spans="1:32" ht="32.25" customHeight="1" x14ac:dyDescent="0.2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32</v>
      </c>
      <c r="D11" s="10" t="s">
        <v>32</v>
      </c>
      <c r="E11" s="10" t="s">
        <v>32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2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**Unoccupied**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32" ht="32.25" customHeight="1" x14ac:dyDescent="0.2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**Unoccupied**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32" ht="32.25" customHeight="1" x14ac:dyDescent="0.2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19" priority="22" operator="equal">
      <formula>$V$2</formula>
    </cfRule>
  </conditionalFormatting>
  <conditionalFormatting sqref="V2">
    <cfRule type="cellIs" dxfId="18" priority="21" operator="equal">
      <formula>$V$2</formula>
    </cfRule>
  </conditionalFormatting>
  <conditionalFormatting sqref="F2:F11">
    <cfRule type="cellIs" dxfId="17" priority="23" stopIfTrue="1" operator="greaterThan">
      <formula>0</formula>
    </cfRule>
  </conditionalFormatting>
  <conditionalFormatting sqref="G2:G11">
    <cfRule type="cellIs" dxfId="16" priority="24" stopIfTrue="1" operator="greaterThan">
      <formula>0</formula>
    </cfRule>
  </conditionalFormatting>
  <conditionalFormatting sqref="H2:H11">
    <cfRule type="cellIs" dxfId="15" priority="25" stopIfTrue="1" operator="greaterThan">
      <formula>0</formula>
    </cfRule>
  </conditionalFormatting>
  <conditionalFormatting sqref="K2:K11">
    <cfRule type="cellIs" dxfId="14" priority="28" stopIfTrue="1" operator="greaterThan">
      <formula>0</formula>
    </cfRule>
  </conditionalFormatting>
  <conditionalFormatting sqref="L2:L11">
    <cfRule type="cellIs" dxfId="13" priority="29" stopIfTrue="1" operator="greaterThan">
      <formula>0</formula>
    </cfRule>
  </conditionalFormatting>
  <conditionalFormatting sqref="I2:I11">
    <cfRule type="cellIs" dxfId="12" priority="26" stopIfTrue="1" operator="greaterThan">
      <formula>0</formula>
    </cfRule>
  </conditionalFormatting>
  <conditionalFormatting sqref="J2:J11">
    <cfRule type="cellIs" dxfId="11" priority="27" stopIfTrue="1" operator="greaterThan">
      <formula>0</formula>
    </cfRule>
  </conditionalFormatting>
  <conditionalFormatting sqref="M2:M11">
    <cfRule type="cellIs" dxfId="10" priority="30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6" r:id="rId5" name="Spinner 3356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7" r:id="rId6" name="Spinner 3357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8" r:id="rId7" name="Spinner 3358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9" r:id="rId8" name="Spinner 3359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0" r:id="rId9" name="Spinner 3360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1" r:id="rId10" name="Spinner 3361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2" r:id="rId11" name="Spinner 3362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3" r:id="rId12" name="Spinner 3363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4" r:id="rId13" name="Spinner 3364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5" r:id="rId14" name="Spinner 3365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6" r:id="rId15" name="Spinner 3366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7" r:id="rId16" name="Spinner 3367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8" r:id="rId17" name="Spinner 3368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9" r:id="rId18" name="Spinner 3369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0" r:id="rId19" name="Spinner 3370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1" r:id="rId20" name="Spinner 3371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2" r:id="rId21" name="Spinner 3372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3" r:id="rId22" name="Spinner 3373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4" r:id="rId23" name="Spinner 3374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5" r:id="rId24" name="Spinner 3375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6" r:id="rId25" name="Spinner 3376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7" r:id="rId26" name="Spinner 3377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8" r:id="rId27" name="Spinner 3378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" r:id="rId28" name="Spinner 3379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0" r:id="rId29" name="Spinner 3380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1" r:id="rId30" name="Spinner 3381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2" r:id="rId31" name="Spinner 3382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3" r:id="rId32" name="Spinner 3383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4" r:id="rId33" name="Spinner 3384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5" r:id="rId34" name="Spinner 3385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6" r:id="rId35" name="Spinner 3386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7" r:id="rId36" name="Spinner 3387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8" r:id="rId37" name="Spinner 3388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9" r:id="rId38" name="Spinner 3389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0" r:id="rId39" name="Spinner 3390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1" r:id="rId40" name="Spinner 3391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2" r:id="rId41" name="Spinner 3392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3" r:id="rId42" name="Spinner 3393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4" r:id="rId43" name="Spinner 3394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5" r:id="rId44" name="Spinner 3395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6" r:id="rId45" name="Spinner 3396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7" r:id="rId46" name="Spinner 3397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8" r:id="rId47" name="Spinner 3398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9" r:id="rId48" name="Spinner 3399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0" r:id="rId49" name="Spinner 3400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1" r:id="rId50" name="Spinner 3401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2" r:id="rId51" name="Spinner 3402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3" r:id="rId52" name="Spinner 3403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4" r:id="rId53" name="Spinner 3404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5" r:id="rId54" name="Spinner 3405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6" r:id="rId55" name="Spinner 3406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7" r:id="rId56" name="Spinner 3407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8" r:id="rId57" name="Spinner 3408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9" r:id="rId58" name="Spinner 3409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0" r:id="rId59" name="Spinner 3410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1" r:id="rId60" name="Spinner 3411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2" r:id="rId61" name="Spinner 3412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3" r:id="rId62" name="Spinner 3413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4" r:id="rId63" name="Spinner 3414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5" r:id="rId64" name="Spinner 3415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6" r:id="rId65" name="Spinner 3416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7" r:id="rId66" name="Spinner 3417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8" r:id="rId67" name="Spinner 3418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9" r:id="rId68" name="Spinner 3419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0" r:id="rId69" name="Spinner 3420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1" r:id="rId70" name="Spinner 3421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2" r:id="rId71" name="Spinner 3422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3" r:id="rId72" name="Spinner 3423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4" r:id="rId73" name="Spinner 3424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5" r:id="rId74" name="Spinner 3425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6" r:id="rId75" name="Spinner 3426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7" r:id="rId76" name="Spinner 3427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8" r:id="rId77" name="Spinner 3428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9" r:id="rId78" name="Spinner 3429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0" r:id="rId79" name="Spinner 3430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1" r:id="rId80" name="Spinner 3431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2" r:id="rId81" name="Spinner 3432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3" r:id="rId82" name="Spinner 3433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4" r:id="rId83" name="Spinner 3434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5" r:id="rId84" name="Spinner 3435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76FD-06E7-4A8D-A0E0-12C21A7CCC17}">
  <sheetPr codeName="Sheet3"/>
  <dimension ref="A1:AF16"/>
  <sheetViews>
    <sheetView workbookViewId="0">
      <selection activeCell="O3" sqref="O3"/>
    </sheetView>
  </sheetViews>
  <sheetFormatPr defaultRowHeight="15" x14ac:dyDescent="0.25"/>
  <cols>
    <col min="1" max="1" width="9.140625" style="22"/>
    <col min="2" max="2" width="15.5703125" style="22" bestFit="1" customWidth="1"/>
    <col min="3" max="5" width="9.7109375" style="11" customWidth="1"/>
    <col min="6" max="14" width="10.28515625" style="14" bestFit="1" customWidth="1"/>
    <col min="15" max="15" width="11.28515625" style="15" bestFit="1" customWidth="1"/>
    <col min="16" max="17" width="9.140625" style="16"/>
    <col min="18" max="18" width="10.140625" style="22" bestFit="1" customWidth="1"/>
    <col min="19" max="19" width="9.140625" style="22"/>
    <col min="20" max="21" width="9.140625" style="16"/>
    <col min="22" max="22" width="13.140625" style="16" bestFit="1" customWidth="1"/>
    <col min="23" max="23" width="11.140625" style="16" bestFit="1" customWidth="1"/>
    <col min="24" max="16384" width="9.140625" style="16"/>
  </cols>
  <sheetData>
    <row r="1" spans="1:3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2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>
        <v>1</v>
      </c>
      <c r="N2" s="13">
        <v>137</v>
      </c>
      <c r="O2" s="14">
        <v>1262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3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3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2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2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34</v>
      </c>
      <c r="S6" s="22">
        <v>25</v>
      </c>
    </row>
    <row r="7" spans="1:32" ht="32.25" customHeight="1" x14ac:dyDescent="0.2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2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2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2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2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2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2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2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2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2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Boarder-List</vt:lpstr>
      <vt:lpstr>BoarderDateWise-Sales</vt:lpstr>
      <vt:lpstr>Boarder-Sales</vt:lpstr>
      <vt:lpstr>Today_02-01-25</vt:lpstr>
      <vt:lpstr>01-01-25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2025-01-31T06:18:46Z</dcterms:modified>
</cp:coreProperties>
</file>