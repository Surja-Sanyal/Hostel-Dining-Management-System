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Data\Dynamic Data\PhD @ IIT Guwahati and IIT BHU\Exploration Work\IIT-BHU-Mess-Management-System\"/>
    </mc:Choice>
  </mc:AlternateContent>
  <xr:revisionPtr revIDLastSave="0" documentId="13_ncr:1_{4AEE865E-107E-4D5A-8822-331FC9109135}" xr6:coauthVersionLast="47" xr6:coauthVersionMax="47" xr10:uidLastSave="{00000000-0000-0000-0000-000000000000}"/>
  <bookViews>
    <workbookView xWindow="-110" yWindow="-110" windowWidth="19420" windowHeight="10300" firstSheet="3" activeTab="5" xr2:uid="{00000000-000D-0000-FFFF-FFFF00000000}"/>
  </bookViews>
  <sheets>
    <sheet name="Boarder-List" sheetId="2" r:id="rId1"/>
    <sheet name="BoarderDateWise-Sales" sheetId="17" r:id="rId2"/>
    <sheet name="Boarder-Sales" sheetId="16" r:id="rId3"/>
    <sheet name="Mess-Offs" sheetId="21" r:id="rId4"/>
    <sheet name="Leave-Register" sheetId="20" r:id="rId5"/>
    <sheet name="Today_02-02-25" sheetId="1" r:id="rId6"/>
    <sheet name="01-02-25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0" l="1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4" i="20"/>
  <c r="B5" i="20"/>
  <c r="B6" i="20"/>
  <c r="B3" i="20"/>
  <c r="D1" i="17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A3" i="1" a="1"/>
  <c r="A3" i="1" s="1"/>
  <c r="A4" i="1" a="1"/>
  <c r="A4" i="1" s="1"/>
  <c r="A5" i="1" a="1"/>
  <c r="A5" i="1" s="1"/>
  <c r="B5" i="1" s="1"/>
  <c r="A6" i="1" a="1"/>
  <c r="A6" i="1" s="1"/>
  <c r="B6" i="1" s="1"/>
  <c r="A7" i="1" a="1"/>
  <c r="A7" i="1" s="1"/>
  <c r="B7" i="1" s="1"/>
  <c r="A8" i="1" a="1"/>
  <c r="A8" i="1" s="1"/>
  <c r="B8" i="1" s="1"/>
  <c r="A9" i="1" a="1"/>
  <c r="A9" i="1" s="1"/>
  <c r="B9" i="1" s="1"/>
  <c r="A10" i="1" a="1"/>
  <c r="A10" i="1" s="1"/>
  <c r="B10" i="1" s="1"/>
  <c r="A11" i="1" a="1"/>
  <c r="A11" i="1" s="1"/>
  <c r="A2" i="1" a="1"/>
  <c r="A2" i="1" s="1"/>
  <c r="A12" i="17" a="1"/>
  <c r="A12" i="1" a="1"/>
  <c r="A12" i="16" a="1"/>
  <c r="B4" i="1" l="1"/>
  <c r="B11" i="1"/>
  <c r="B3" i="1"/>
  <c r="B2" i="1"/>
  <c r="A12" i="17"/>
  <c r="B12" i="17" s="1"/>
  <c r="A12" i="16"/>
  <c r="B12" i="16" s="1"/>
  <c r="A12" i="1"/>
  <c r="A13" i="1" a="1"/>
  <c r="A13" i="17" a="1"/>
  <c r="A13" i="16" a="1"/>
  <c r="B12" i="1" l="1"/>
  <c r="A13" i="17"/>
  <c r="B13" i="17" s="1"/>
  <c r="A13" i="16"/>
  <c r="B13" i="16" s="1"/>
  <c r="A13" i="1"/>
  <c r="A14" i="17" a="1"/>
  <c r="A14" i="16" a="1"/>
  <c r="A14" i="1" a="1"/>
  <c r="B13" i="1" l="1"/>
  <c r="A14" i="17"/>
  <c r="B14" i="17" s="1"/>
  <c r="D14" i="17" s="1"/>
  <c r="A14" i="16"/>
  <c r="B14" i="16" s="1"/>
  <c r="A14" i="1"/>
  <c r="A15" i="17" a="1"/>
  <c r="A15" i="1" a="1"/>
  <c r="A15" i="16" a="1"/>
  <c r="B14" i="1" l="1"/>
  <c r="A15" i="17"/>
  <c r="B15" i="17" s="1"/>
  <c r="D15" i="17" s="1"/>
  <c r="A15" i="16"/>
  <c r="B15" i="16" s="1"/>
  <c r="A15" i="1"/>
  <c r="A16" i="16" a="1"/>
  <c r="A16" i="17" a="1"/>
  <c r="A16" i="1" a="1"/>
  <c r="B15" i="1" l="1"/>
  <c r="A16" i="17"/>
  <c r="B16" i="17" s="1"/>
  <c r="D16" i="17" s="1"/>
  <c r="A16" i="16"/>
  <c r="B16" i="16" s="1"/>
  <c r="A16" i="1"/>
  <c r="B16" i="1" s="1"/>
  <c r="C14" i="17"/>
  <c r="C14" i="16" l="1"/>
  <c r="C16" i="17"/>
  <c r="C15" i="17"/>
  <c r="C16" i="16" l="1"/>
  <c r="C15" i="16"/>
  <c r="N13" i="1" a="1"/>
  <c r="N12" i="1" a="1"/>
  <c r="N12" i="1" l="1"/>
  <c r="D12" i="17" s="1"/>
  <c r="N13" i="1"/>
  <c r="D13" i="17" s="1"/>
  <c r="C13" i="17"/>
  <c r="C12" i="17"/>
  <c r="C13" i="16" l="1"/>
  <c r="C12" i="16"/>
  <c r="N6" i="1" a="1"/>
  <c r="N7" i="1" a="1"/>
  <c r="N4" i="1" a="1"/>
  <c r="N5" i="1" a="1"/>
  <c r="N10" i="1" a="1"/>
  <c r="N8" i="1" a="1"/>
  <c r="N2" i="1" a="1"/>
  <c r="N3" i="1" a="1"/>
  <c r="N9" i="1" a="1"/>
  <c r="N11" i="1" a="1"/>
  <c r="N2" i="1" l="1"/>
  <c r="N3" i="1"/>
  <c r="D3" i="17" s="1"/>
  <c r="N10" i="1"/>
  <c r="D10" i="17" s="1"/>
  <c r="N11" i="1"/>
  <c r="D11" i="17" s="1"/>
  <c r="N5" i="1"/>
  <c r="D5" i="17" s="1"/>
  <c r="N4" i="1"/>
  <c r="D4" i="17" s="1"/>
  <c r="N7" i="1"/>
  <c r="D7" i="17" s="1"/>
  <c r="N9" i="1"/>
  <c r="D9" i="17" s="1"/>
  <c r="N6" i="1"/>
  <c r="D6" i="17" s="1"/>
  <c r="N8" i="1"/>
  <c r="D8" i="17" s="1"/>
  <c r="C11" i="17"/>
  <c r="C6" i="17"/>
  <c r="C3" i="17"/>
  <c r="C4" i="17"/>
  <c r="C5" i="17"/>
  <c r="C7" i="17"/>
  <c r="C10" i="17"/>
  <c r="C9" i="17"/>
  <c r="C8" i="17"/>
  <c r="C9" i="16" l="1"/>
  <c r="C7" i="16"/>
  <c r="C4" i="16"/>
  <c r="C5" i="16"/>
  <c r="C11" i="16"/>
  <c r="C10" i="16"/>
  <c r="C8" i="16"/>
  <c r="C3" i="16"/>
  <c r="C6" i="16"/>
  <c r="D2" i="17"/>
  <c r="O2" i="1"/>
  <c r="C2" i="17"/>
  <c r="C2" i="16" l="1"/>
  <c r="D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<sst xmlns="http://schemas.openxmlformats.org/spreadsheetml/2006/main" count="221" uniqueCount="45">
  <si>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</si>
  <si>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</si>
  <si>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</si>
  <si>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</si>
  <si>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</si>
  <si>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</si>
  <si>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</si>
  <si>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</si>
  <si>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</si>
  <si>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</si>
  <si>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</si>
  <si>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</si>
  <si>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</si>
  <si>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</si>
  <si>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X</t>
  </si>
  <si>
    <t>Item</t>
  </si>
  <si>
    <t>Price</t>
  </si>
  <si>
    <t>Total Price</t>
  </si>
  <si>
    <t>Meal</t>
  </si>
  <si>
    <t>Grand Total</t>
  </si>
  <si>
    <t>Total</t>
  </si>
  <si>
    <t>Surja Sanyal</t>
  </si>
  <si>
    <t>Present</t>
  </si>
  <si>
    <t>Absent</t>
  </si>
  <si>
    <t>Description</t>
  </si>
  <si>
    <t>Symbol</t>
  </si>
  <si>
    <t>Chicken</t>
  </si>
  <si>
    <t>Fish</t>
  </si>
  <si>
    <t>Paneer</t>
  </si>
  <si>
    <t>Tea</t>
  </si>
  <si>
    <t>Coffee</t>
  </si>
  <si>
    <t>Milk</t>
  </si>
  <si>
    <t>✓</t>
  </si>
  <si>
    <t>Egg x 1</t>
  </si>
  <si>
    <t>Egg x 2</t>
  </si>
  <si>
    <t>-</t>
  </si>
  <si>
    <t>**Unoccupied**</t>
  </si>
  <si>
    <t>From</t>
  </si>
  <si>
    <t>Sl No.</t>
  </si>
  <si>
    <t>Day</t>
  </si>
  <si>
    <t>Month</t>
  </si>
  <si>
    <t>Year</t>
  </si>
  <si>
    <t>Days</t>
  </si>
  <si>
    <t>Name
(Do Not Edit)</t>
  </si>
  <si>
    <t>Room#
(Enter Here)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</si>
</sst>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0" fontId="0" fillId="0" borderId="0" xfId="0" applyFont="1"/>
    <xf numFmtId="0" fontId="1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" xfId="0" applyFont="1" applyBorder="1" applyAlignment="1">
      <alignment horizontal="right" vertical="center"/>
    </xf>
    <xf numFmtId="0" fontId="0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2" borderId="11" xfId="0" applyNumberFormat="1" applyFont="1" applyFill="1" applyBorder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F$2" max="100" page="10" val="0"/>
</file>

<file path=xl/ctrlProps/ctrlProp3.xml><?xml version="1.0" encoding="utf-8"?>
<formControlPr xmlns="http://schemas.microsoft.com/office/spreadsheetml/2009/9/main" objectType="Spin" dx="22" fmlaLink="$F$3" max="100" page="10" val="0"/>
</file>

<file path=xl/ctrlProps/ctrlProp4.xml><?xml version="1.0" encoding="utf-8"?>
<formControlPr xmlns="http://schemas.microsoft.com/office/spreadsheetml/2009/9/main" objectType="Spin" dx="22" fmlaLink="$F$4" max="100" page="10" val="0"/>
</file>

<file path=xl/ctrlProps/ctrlProp5.xml><?xml version="1.0" encoding="utf-8"?>
<formControlPr xmlns="http://schemas.microsoft.com/office/spreadsheetml/2009/9/main" objectType="Spin" dx="22" fmlaLink="$F$5" max="100" page="10" val="0"/>
</file>

<file path=xl/ctrlProps/ctrlProp6.xml><?xml version="1.0" encoding="utf-8"?>
<formControlPr xmlns="http://schemas.microsoft.com/office/spreadsheetml/2009/9/main" objectType="Spin" dx="22" fmlaLink="$F$6" max="100" page="10" val="0"/>
</file>

<file path=xl/ctrlProps/ctrlProp7.xml><?xml version="1.0" encoding="utf-8"?>
<formControlPr xmlns="http://schemas.microsoft.com/office/spreadsheetml/2009/9/main" objectType="Spin" dx="22" fmlaLink="$F$7" max="100" page="10" val="0"/>
</file>

<file path=xl/ctrlProps/ctrlProp8.xml><?xml version="1.0" encoding="utf-8"?>
<formControlPr xmlns="http://schemas.microsoft.com/office/spreadsheetml/2009/9/main" objectType="Spin" dx="22" fmlaLink="$F$8" max="100" page="10" val="0"/>
</file>

<file path=xl/ctrlProps/ctrlProp9.xml><?xml version="1.0" encoding="utf-8"?>
<formControlPr xmlns="http://schemas.microsoft.com/office/spreadsheetml/2009/9/main" objectType="Spin" dx="22" fmlaLink="$F$9" max="100" page="10" val="0"/>
</file>

<file path=xl/ctrlProps/ctrlProp10.xml><?xml version="1.0" encoding="utf-8"?>
<formControlPr xmlns="http://schemas.microsoft.com/office/spreadsheetml/2009/9/main" objectType="Spin" dx="22" fmlaLink="$F$10" max="100" page="10" val="0"/>
</file>

<file path=xl/ctrlProps/ctrlProp11.xml><?xml version="1.0" encoding="utf-8"?>
<formControlPr xmlns="http://schemas.microsoft.com/office/spreadsheetml/2009/9/main" objectType="Spin" dx="22" fmlaLink="$F$11" max="100" page="10" val="0"/>
</file>

<file path=xl/ctrlProps/ctrlProp12.xml><?xml version="1.0" encoding="utf-8"?>
<formControlPr xmlns="http://schemas.microsoft.com/office/spreadsheetml/2009/9/main" objectType="Spin" dx="22" fmlaLink="$G$2" max="100" page="10" val="0"/>
</file>

<file path=xl/ctrlProps/ctrlProp13.xml><?xml version="1.0" encoding="utf-8"?>
<formControlPr xmlns="http://schemas.microsoft.com/office/spreadsheetml/2009/9/main" objectType="Spin" dx="22" fmlaLink="$G$3" max="100" page="10" val="0"/>
</file>

<file path=xl/ctrlProps/ctrlProp14.xml><?xml version="1.0" encoding="utf-8"?>
<formControlPr xmlns="http://schemas.microsoft.com/office/spreadsheetml/2009/9/main" objectType="Spin" dx="22" fmlaLink="$G$4" max="100" page="10" val="0"/>
</file>

<file path=xl/ctrlProps/ctrlProp15.xml><?xml version="1.0" encoding="utf-8"?>
<formControlPr xmlns="http://schemas.microsoft.com/office/spreadsheetml/2009/9/main" objectType="Spin" dx="22" fmlaLink="$G$5" max="100" page="10" val="0"/>
</file>

<file path=xl/ctrlProps/ctrlProp16.xml><?xml version="1.0" encoding="utf-8"?>
<formControlPr xmlns="http://schemas.microsoft.com/office/spreadsheetml/2009/9/main" objectType="Spin" dx="22" fmlaLink="$G$6" max="100" page="10" val="0"/>
</file>

<file path=xl/ctrlProps/ctrlProp17.xml><?xml version="1.0" encoding="utf-8"?>
<formControlPr xmlns="http://schemas.microsoft.com/office/spreadsheetml/2009/9/main" objectType="Spin" dx="22" fmlaLink="$G$7" max="100" page="10" val="0"/>
</file>

<file path=xl/ctrlProps/ctrlProp18.xml><?xml version="1.0" encoding="utf-8"?>
<formControlPr xmlns="http://schemas.microsoft.com/office/spreadsheetml/2009/9/main" objectType="Spin" dx="22" fmlaLink="$G$8" max="100" page="10" val="0"/>
</file>

<file path=xl/ctrlProps/ctrlProp19.xml><?xml version="1.0" encoding="utf-8"?>
<formControlPr xmlns="http://schemas.microsoft.com/office/spreadsheetml/2009/9/main" objectType="Spin" dx="22" fmlaLink="$G$9" max="100" page="10" val="0"/>
</file>

<file path=xl/ctrlProps/ctrlProp20.xml><?xml version="1.0" encoding="utf-8"?>
<formControlPr xmlns="http://schemas.microsoft.com/office/spreadsheetml/2009/9/main" objectType="Spin" dx="22" fmlaLink="$G$10" max="100" page="10" val="0"/>
</file>

<file path=xl/ctrlProps/ctrlProp21.xml><?xml version="1.0" encoding="utf-8"?>
<formControlPr xmlns="http://schemas.microsoft.com/office/spreadsheetml/2009/9/main" objectType="Spin" dx="22" fmlaLink="$G$11" max="100" page="10" val="0"/>
</file>

<file path=xl/ctrlProps/ctrlProp22.xml><?xml version="1.0" encoding="utf-8"?>
<formControlPr xmlns="http://schemas.microsoft.com/office/spreadsheetml/2009/9/main" objectType="Spin" dx="22" fmlaLink="$H$2" max="100" page="10" val="0"/>
</file>

<file path=xl/ctrlProps/ctrlProp23.xml><?xml version="1.0" encoding="utf-8"?>
<formControlPr xmlns="http://schemas.microsoft.com/office/spreadsheetml/2009/9/main" objectType="Spin" dx="22" fmlaLink="$H$3" max="100" page="10" val="0"/>
</file>

<file path=xl/ctrlProps/ctrlProp24.xml><?xml version="1.0" encoding="utf-8"?>
<formControlPr xmlns="http://schemas.microsoft.com/office/spreadsheetml/2009/9/main" objectType="Spin" dx="22" fmlaLink="$H$4" max="100" page="10" val="0"/>
</file>

<file path=xl/ctrlProps/ctrlProp25.xml><?xml version="1.0" encoding="utf-8"?>
<formControlPr xmlns="http://schemas.microsoft.com/office/spreadsheetml/2009/9/main" objectType="Spin" dx="22" fmlaLink="$H$5" max="100" page="10" val="0"/>
</file>

<file path=xl/ctrlProps/ctrlProp26.xml><?xml version="1.0" encoding="utf-8"?>
<formControlPr xmlns="http://schemas.microsoft.com/office/spreadsheetml/2009/9/main" objectType="Spin" dx="22" fmlaLink="$H$6" max="100" page="10" val="0"/>
</file>

<file path=xl/ctrlProps/ctrlProp27.xml><?xml version="1.0" encoding="utf-8"?>
<formControlPr xmlns="http://schemas.microsoft.com/office/spreadsheetml/2009/9/main" objectType="Spin" dx="22" fmlaLink="$H$7" max="100" page="10" val="0"/>
</file>

<file path=xl/ctrlProps/ctrlProp28.xml><?xml version="1.0" encoding="utf-8"?>
<formControlPr xmlns="http://schemas.microsoft.com/office/spreadsheetml/2009/9/main" objectType="Spin" dx="22" fmlaLink="$H$8" max="100" page="10" val="0"/>
</file>

<file path=xl/ctrlProps/ctrlProp29.xml><?xml version="1.0" encoding="utf-8"?>
<formControlPr xmlns="http://schemas.microsoft.com/office/spreadsheetml/2009/9/main" objectType="Spin" dx="22" fmlaLink="$H$9" max="100" page="10" val="0"/>
</file>

<file path=xl/ctrlProps/ctrlProp30.xml><?xml version="1.0" encoding="utf-8"?>
<formControlPr xmlns="http://schemas.microsoft.com/office/spreadsheetml/2009/9/main" objectType="Spin" dx="22" fmlaLink="$H$10" max="100" page="10" val="0"/>
</file>

<file path=xl/ctrlProps/ctrlProp31.xml><?xml version="1.0" encoding="utf-8"?>
<formControlPr xmlns="http://schemas.microsoft.com/office/spreadsheetml/2009/9/main" objectType="Spin" dx="22" fmlaLink="$H$11" max="100" page="10" val="0"/>
</file>

<file path=xl/ctrlProps/ctrlProp32.xml><?xml version="1.0" encoding="utf-8"?>
<formControlPr xmlns="http://schemas.microsoft.com/office/spreadsheetml/2009/9/main" objectType="Spin" dx="22" fmlaLink="$I$2" max="100" page="10" val="0"/>
</file>

<file path=xl/ctrlProps/ctrlProp33.xml><?xml version="1.0" encoding="utf-8"?>
<formControlPr xmlns="http://schemas.microsoft.com/office/spreadsheetml/2009/9/main" objectType="Spin" dx="22" fmlaLink="$I$3" max="100" page="10" val="0"/>
</file>

<file path=xl/ctrlProps/ctrlProp34.xml><?xml version="1.0" encoding="utf-8"?>
<formControlPr xmlns="http://schemas.microsoft.com/office/spreadsheetml/2009/9/main" objectType="Spin" dx="22" fmlaLink="$I$4" max="100" page="10" val="0"/>
</file>

<file path=xl/ctrlProps/ctrlProp35.xml><?xml version="1.0" encoding="utf-8"?>
<formControlPr xmlns="http://schemas.microsoft.com/office/spreadsheetml/2009/9/main" objectType="Spin" dx="22" fmlaLink="$I$5" max="100" page="10" val="0"/>
</file>

<file path=xl/ctrlProps/ctrlProp36.xml><?xml version="1.0" encoding="utf-8"?>
<formControlPr xmlns="http://schemas.microsoft.com/office/spreadsheetml/2009/9/main" objectType="Spin" dx="22" fmlaLink="$I$6" max="100" page="10" val="0"/>
</file>

<file path=xl/ctrlProps/ctrlProp37.xml><?xml version="1.0" encoding="utf-8"?>
<formControlPr xmlns="http://schemas.microsoft.com/office/spreadsheetml/2009/9/main" objectType="Spin" dx="22" fmlaLink="$I$7" max="100" page="10" val="0"/>
</file>

<file path=xl/ctrlProps/ctrlProp38.xml><?xml version="1.0" encoding="utf-8"?>
<formControlPr xmlns="http://schemas.microsoft.com/office/spreadsheetml/2009/9/main" objectType="Spin" dx="22" fmlaLink="$I$8" max="100" page="10" val="0"/>
</file>

<file path=xl/ctrlProps/ctrlProp39.xml><?xml version="1.0" encoding="utf-8"?>
<formControlPr xmlns="http://schemas.microsoft.com/office/spreadsheetml/2009/9/main" objectType="Spin" dx="22" fmlaLink="$I$9" max="100" page="10" val="0"/>
</file>

<file path=xl/ctrlProps/ctrlProp40.xml><?xml version="1.0" encoding="utf-8"?>
<formControlPr xmlns="http://schemas.microsoft.com/office/spreadsheetml/2009/9/main" objectType="Spin" dx="22" fmlaLink="$I$10" max="100" page="10" val="0"/>
</file>

<file path=xl/ctrlProps/ctrlProp41.xml><?xml version="1.0" encoding="utf-8"?>
<formControlPr xmlns="http://schemas.microsoft.com/office/spreadsheetml/2009/9/main" objectType="Spin" dx="22" fmlaLink="$I$11" max="100" page="10" val="0"/>
</file>

<file path=xl/ctrlProps/ctrlProp42.xml><?xml version="1.0" encoding="utf-8"?>
<formControlPr xmlns="http://schemas.microsoft.com/office/spreadsheetml/2009/9/main" objectType="Spin" dx="22" fmlaLink="$J$2" max="100" page="10" val="0"/>
</file>

<file path=xl/ctrlProps/ctrlProp43.xml><?xml version="1.0" encoding="utf-8"?>
<formControlPr xmlns="http://schemas.microsoft.com/office/spreadsheetml/2009/9/main" objectType="Spin" dx="22" fmlaLink="$J$3" max="100" page="10" val="0"/>
</file>

<file path=xl/ctrlProps/ctrlProp44.xml><?xml version="1.0" encoding="utf-8"?>
<formControlPr xmlns="http://schemas.microsoft.com/office/spreadsheetml/2009/9/main" objectType="Spin" dx="22" fmlaLink="$J$4" max="100" page="10" val="0"/>
</file>

<file path=xl/ctrlProps/ctrlProp45.xml><?xml version="1.0" encoding="utf-8"?>
<formControlPr xmlns="http://schemas.microsoft.com/office/spreadsheetml/2009/9/main" objectType="Spin" dx="22" fmlaLink="$J$5" max="100" page="10" val="0"/>
</file>

<file path=xl/ctrlProps/ctrlProp46.xml><?xml version="1.0" encoding="utf-8"?>
<formControlPr xmlns="http://schemas.microsoft.com/office/spreadsheetml/2009/9/main" objectType="Spin" dx="22" fmlaLink="$J$6" max="100" page="10" val="0"/>
</file>

<file path=xl/ctrlProps/ctrlProp47.xml><?xml version="1.0" encoding="utf-8"?>
<formControlPr xmlns="http://schemas.microsoft.com/office/spreadsheetml/2009/9/main" objectType="Spin" dx="22" fmlaLink="$J$7" max="100" page="10" val="0"/>
</file>

<file path=xl/ctrlProps/ctrlProp48.xml><?xml version="1.0" encoding="utf-8"?>
<formControlPr xmlns="http://schemas.microsoft.com/office/spreadsheetml/2009/9/main" objectType="Spin" dx="22" fmlaLink="$J$8" max="100" page="10" val="0"/>
</file>

<file path=xl/ctrlProps/ctrlProp49.xml><?xml version="1.0" encoding="utf-8"?>
<formControlPr xmlns="http://schemas.microsoft.com/office/spreadsheetml/2009/9/main" objectType="Spin" dx="22" fmlaLink="$J$9" max="100" page="10" val="0"/>
</file>

<file path=xl/ctrlProps/ctrlProp50.xml><?xml version="1.0" encoding="utf-8"?>
<formControlPr xmlns="http://schemas.microsoft.com/office/spreadsheetml/2009/9/main" objectType="Spin" dx="22" fmlaLink="$J$10" max="100" page="10" val="0"/>
</file>

<file path=xl/ctrlProps/ctrlProp51.xml><?xml version="1.0" encoding="utf-8"?>
<formControlPr xmlns="http://schemas.microsoft.com/office/spreadsheetml/2009/9/main" objectType="Spin" dx="22" fmlaLink="$J$11" max="100" page="10" val="0"/>
</file>

<file path=xl/ctrlProps/ctrlProp52.xml><?xml version="1.0" encoding="utf-8"?>
<formControlPr xmlns="http://schemas.microsoft.com/office/spreadsheetml/2009/9/main" objectType="Spin" dx="22" fmlaLink="$K$2" max="100" page="10" val="0"/>
</file>

<file path=xl/ctrlProps/ctrlProp53.xml><?xml version="1.0" encoding="utf-8"?>
<formControlPr xmlns="http://schemas.microsoft.com/office/spreadsheetml/2009/9/main" objectType="Spin" dx="22" fmlaLink="$K$3" max="100" page="10" val="0"/>
</file>

<file path=xl/ctrlProps/ctrlProp54.xml><?xml version="1.0" encoding="utf-8"?>
<formControlPr xmlns="http://schemas.microsoft.com/office/spreadsheetml/2009/9/main" objectType="Spin" dx="22" fmlaLink="$K$4" max="100" page="10" val="0"/>
</file>

<file path=xl/ctrlProps/ctrlProp55.xml><?xml version="1.0" encoding="utf-8"?>
<formControlPr xmlns="http://schemas.microsoft.com/office/spreadsheetml/2009/9/main" objectType="Spin" dx="22" fmlaLink="$K$5" max="100" page="10" val="0"/>
</file>

<file path=xl/ctrlProps/ctrlProp56.xml><?xml version="1.0" encoding="utf-8"?>
<formControlPr xmlns="http://schemas.microsoft.com/office/spreadsheetml/2009/9/main" objectType="Spin" dx="22" fmlaLink="$K$6" max="100" page="10" val="0"/>
</file>

<file path=xl/ctrlProps/ctrlProp57.xml><?xml version="1.0" encoding="utf-8"?>
<formControlPr xmlns="http://schemas.microsoft.com/office/spreadsheetml/2009/9/main" objectType="Spin" dx="22" fmlaLink="$K$7" max="100" page="10" val="0"/>
</file>

<file path=xl/ctrlProps/ctrlProp58.xml><?xml version="1.0" encoding="utf-8"?>
<formControlPr xmlns="http://schemas.microsoft.com/office/spreadsheetml/2009/9/main" objectType="Spin" dx="22" fmlaLink="$K$8" max="100" page="10" val="0"/>
</file>

<file path=xl/ctrlProps/ctrlProp59.xml><?xml version="1.0" encoding="utf-8"?>
<formControlPr xmlns="http://schemas.microsoft.com/office/spreadsheetml/2009/9/main" objectType="Spin" dx="22" fmlaLink="$K$9" max="100" page="10" val="0"/>
</file>

<file path=xl/ctrlProps/ctrlProp60.xml><?xml version="1.0" encoding="utf-8"?>
<formControlPr xmlns="http://schemas.microsoft.com/office/spreadsheetml/2009/9/main" objectType="Spin" dx="22" fmlaLink="$K$10" max="100" page="10" val="0"/>
</file>

<file path=xl/ctrlProps/ctrlProp61.xml><?xml version="1.0" encoding="utf-8"?>
<formControlPr xmlns="http://schemas.microsoft.com/office/spreadsheetml/2009/9/main" objectType="Spin" dx="22" fmlaLink="$K$11" max="100" page="10" val="0"/>
</file>

<file path=xl/ctrlProps/ctrlProp62.xml><?xml version="1.0" encoding="utf-8"?>
<formControlPr xmlns="http://schemas.microsoft.com/office/spreadsheetml/2009/9/main" objectType="Spin" dx="22" fmlaLink="$L$2" max="100" page="10" val="0"/>
</file>

<file path=xl/ctrlProps/ctrlProp63.xml><?xml version="1.0" encoding="utf-8"?>
<formControlPr xmlns="http://schemas.microsoft.com/office/spreadsheetml/2009/9/main" objectType="Spin" dx="22" fmlaLink="$L$3" max="100" page="10" val="0"/>
</file>

<file path=xl/ctrlProps/ctrlProp64.xml><?xml version="1.0" encoding="utf-8"?>
<formControlPr xmlns="http://schemas.microsoft.com/office/spreadsheetml/2009/9/main" objectType="Spin" dx="22" fmlaLink="$L$4" max="100" page="10" val="0"/>
</file>

<file path=xl/ctrlProps/ctrlProp65.xml><?xml version="1.0" encoding="utf-8"?>
<formControlPr xmlns="http://schemas.microsoft.com/office/spreadsheetml/2009/9/main" objectType="Spin" dx="22" fmlaLink="$L$5" max="100" page="10" val="0"/>
</file>

<file path=xl/ctrlProps/ctrlProp66.xml><?xml version="1.0" encoding="utf-8"?>
<formControlPr xmlns="http://schemas.microsoft.com/office/spreadsheetml/2009/9/main" objectType="Spin" dx="22" fmlaLink="$L$6" max="100" page="10" val="0"/>
</file>

<file path=xl/ctrlProps/ctrlProp67.xml><?xml version="1.0" encoding="utf-8"?>
<formControlPr xmlns="http://schemas.microsoft.com/office/spreadsheetml/2009/9/main" objectType="Spin" dx="22" fmlaLink="$L$7" max="100" page="10" val="0"/>
</file>

<file path=xl/ctrlProps/ctrlProp68.xml><?xml version="1.0" encoding="utf-8"?>
<formControlPr xmlns="http://schemas.microsoft.com/office/spreadsheetml/2009/9/main" objectType="Spin" dx="22" fmlaLink="$L$8" max="100" page="10" val="0"/>
</file>

<file path=xl/ctrlProps/ctrlProp69.xml><?xml version="1.0" encoding="utf-8"?>
<formControlPr xmlns="http://schemas.microsoft.com/office/spreadsheetml/2009/9/main" objectType="Spin" dx="22" fmlaLink="$L$9" max="100" page="10" val="0"/>
</file>

<file path=xl/ctrlProps/ctrlProp70.xml><?xml version="1.0" encoding="utf-8"?>
<formControlPr xmlns="http://schemas.microsoft.com/office/spreadsheetml/2009/9/main" objectType="Spin" dx="22" fmlaLink="$L$10" max="100" page="10" val="0"/>
</file>

<file path=xl/ctrlProps/ctrlProp71.xml><?xml version="1.0" encoding="utf-8"?>
<formControlPr xmlns="http://schemas.microsoft.com/office/spreadsheetml/2009/9/main" objectType="Spin" dx="22" fmlaLink="$L$11" max="100" page="10" val="0"/>
</file>

<file path=xl/ctrlProps/ctrlProp72.xml><?xml version="1.0" encoding="utf-8"?>
<formControlPr xmlns="http://schemas.microsoft.com/office/spreadsheetml/2009/9/main" objectType="Spin" dx="22" fmlaLink="$M$2" max="100" page="10" val="0"/>
</file>

<file path=xl/ctrlProps/ctrlProp73.xml><?xml version="1.0" encoding="utf-8"?>
<formControlPr xmlns="http://schemas.microsoft.com/office/spreadsheetml/2009/9/main" objectType="Spin" dx="22" fmlaLink="$M$3" max="100" page="10" val="0"/>
</file>

<file path=xl/ctrlProps/ctrlProp74.xml><?xml version="1.0" encoding="utf-8"?>
<formControlPr xmlns="http://schemas.microsoft.com/office/spreadsheetml/2009/9/main" objectType="Spin" dx="22" fmlaLink="$M$4" max="100" page="10" val="0"/>
</file>

<file path=xl/ctrlProps/ctrlProp75.xml><?xml version="1.0" encoding="utf-8"?>
<formControlPr xmlns="http://schemas.microsoft.com/office/spreadsheetml/2009/9/main" objectType="Spin" dx="22" fmlaLink="$M$5" max="100" page="10" val="0"/>
</file>

<file path=xl/ctrlProps/ctrlProp76.xml><?xml version="1.0" encoding="utf-8"?>
<formControlPr xmlns="http://schemas.microsoft.com/office/spreadsheetml/2009/9/main" objectType="Spin" dx="22" fmlaLink="$M$6" max="100" page="10" val="0"/>
</file>

<file path=xl/ctrlProps/ctrlProp77.xml><?xml version="1.0" encoding="utf-8"?>
<formControlPr xmlns="http://schemas.microsoft.com/office/spreadsheetml/2009/9/main" objectType="Spin" dx="22" fmlaLink="$M$7" max="100" page="10" val="0"/>
</file>

<file path=xl/ctrlProps/ctrlProp78.xml><?xml version="1.0" encoding="utf-8"?>
<formControlPr xmlns="http://schemas.microsoft.com/office/spreadsheetml/2009/9/main" objectType="Spin" dx="22" fmlaLink="$M$8" max="100" page="10" val="0"/>
</file>

<file path=xl/ctrlProps/ctrlProp79.xml><?xml version="1.0" encoding="utf-8"?>
<formControlPr xmlns="http://schemas.microsoft.com/office/spreadsheetml/2009/9/main" objectType="Spin" dx="22" fmlaLink="$M$9" max="100" page="10" val="0"/>
</file>

<file path=xl/ctrlProps/ctrlProp80.xml><?xml version="1.0" encoding="utf-8"?>
<formControlPr xmlns="http://schemas.microsoft.com/office/spreadsheetml/2009/9/main" objectType="Spin" dx="22" fmlaLink="$M$10" max="100" page="10" val="0"/>
</file>

<file path=xl/ctrlProps/ctrlProp81.xml><?xml version="1.0" encoding="utf-8"?>
<formControlPr xmlns="http://schemas.microsoft.com/office/spreadsheetml/2009/9/main" objectType="Spin" dx="22" fmlaLink="$M$11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50800</xdr:colOff>
          <xdr:row>0</xdr:row>
          <xdr:rowOff>38100</xdr:rowOff>
        </xdr:from>
        <xdr:to>
          <xdr:col>16</xdr:col>
          <xdr:colOff>565150</xdr:colOff>
          <xdr:row>1</xdr:row>
          <xdr:rowOff>203200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5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1</xdr:row>
          <xdr:rowOff>38100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44407" name="Spinner 3447" hidden="1">
              <a:extLst>
                <a:ext uri="{63B3BB69-23CF-44E3-9099-C40C66FF867C}">
                  <a14:compatExt spid="_x0000_s44407"/>
                </a:ext>
                <a:ext uri="{FF2B5EF4-FFF2-40B4-BE49-F238E27FC236}">
                  <a16:creationId xmlns:a16="http://schemas.microsoft.com/office/drawing/2014/main" id="{00000000-0008-0000-0500-00007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2</xdr:row>
          <xdr:rowOff>38100</xdr:rowOff>
        </xdr:from>
        <xdr:to>
          <xdr:col>6</xdr:col>
          <xdr:colOff>0</xdr:colOff>
          <xdr:row>2</xdr:row>
          <xdr:rowOff>361950</xdr:rowOff>
        </xdr:to>
        <xdr:sp macro="" textlink="">
          <xdr:nvSpPr>
            <xdr:cNvPr id="44408" name="Spinner 3448" hidden="1">
              <a:extLst>
                <a:ext uri="{63B3BB69-23CF-44E3-9099-C40C66FF867C}">
                  <a14:compatExt spid="_x0000_s44408"/>
                </a:ext>
                <a:ext uri="{FF2B5EF4-FFF2-40B4-BE49-F238E27FC236}">
                  <a16:creationId xmlns:a16="http://schemas.microsoft.com/office/drawing/2014/main" id="{00000000-0008-0000-0500-00007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3</xdr:row>
          <xdr:rowOff>38100</xdr:rowOff>
        </xdr:from>
        <xdr:to>
          <xdr:col>6</xdr:col>
          <xdr:colOff>0</xdr:colOff>
          <xdr:row>3</xdr:row>
          <xdr:rowOff>361950</xdr:rowOff>
        </xdr:to>
        <xdr:sp macro="" textlink="">
          <xdr:nvSpPr>
            <xdr:cNvPr id="44409" name="Spinner 3449" hidden="1">
              <a:extLst>
                <a:ext uri="{63B3BB69-23CF-44E3-9099-C40C66FF867C}">
                  <a14:compatExt spid="_x0000_s44409"/>
                </a:ext>
                <a:ext uri="{FF2B5EF4-FFF2-40B4-BE49-F238E27FC236}">
                  <a16:creationId xmlns:a16="http://schemas.microsoft.com/office/drawing/2014/main" id="{00000000-0008-0000-0500-00007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4</xdr:row>
          <xdr:rowOff>38100</xdr:rowOff>
        </xdr:from>
        <xdr:to>
          <xdr:col>6</xdr:col>
          <xdr:colOff>0</xdr:colOff>
          <xdr:row>4</xdr:row>
          <xdr:rowOff>361950</xdr:rowOff>
        </xdr:to>
        <xdr:sp macro="" textlink="">
          <xdr:nvSpPr>
            <xdr:cNvPr id="44410" name="Spinner 3450" hidden="1">
              <a:extLst>
                <a:ext uri="{63B3BB69-23CF-44E3-9099-C40C66FF867C}">
                  <a14:compatExt spid="_x0000_s44410"/>
                </a:ext>
                <a:ext uri="{FF2B5EF4-FFF2-40B4-BE49-F238E27FC236}">
                  <a16:creationId xmlns:a16="http://schemas.microsoft.com/office/drawing/2014/main" id="{00000000-0008-0000-0500-00007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5</xdr:row>
          <xdr:rowOff>38100</xdr:rowOff>
        </xdr:from>
        <xdr:to>
          <xdr:col>6</xdr:col>
          <xdr:colOff>0</xdr:colOff>
          <xdr:row>5</xdr:row>
          <xdr:rowOff>361950</xdr:rowOff>
        </xdr:to>
        <xdr:sp macro="" textlink="">
          <xdr:nvSpPr>
            <xdr:cNvPr id="44411" name="Spinner 3451" hidden="1">
              <a:extLst>
                <a:ext uri="{63B3BB69-23CF-44E3-9099-C40C66FF867C}">
                  <a14:compatExt spid="_x0000_s44411"/>
                </a:ext>
                <a:ext uri="{FF2B5EF4-FFF2-40B4-BE49-F238E27FC236}">
                  <a16:creationId xmlns:a16="http://schemas.microsoft.com/office/drawing/2014/main" id="{00000000-0008-0000-0500-00007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6</xdr:row>
          <xdr:rowOff>38100</xdr:rowOff>
        </xdr:from>
        <xdr:to>
          <xdr:col>6</xdr:col>
          <xdr:colOff>0</xdr:colOff>
          <xdr:row>6</xdr:row>
          <xdr:rowOff>361950</xdr:rowOff>
        </xdr:to>
        <xdr:sp macro="" textlink="">
          <xdr:nvSpPr>
            <xdr:cNvPr id="44412" name="Spinner 3452" hidden="1">
              <a:extLst>
                <a:ext uri="{63B3BB69-23CF-44E3-9099-C40C66FF867C}">
                  <a14:compatExt spid="_x0000_s44412"/>
                </a:ext>
                <a:ext uri="{FF2B5EF4-FFF2-40B4-BE49-F238E27FC236}">
                  <a16:creationId xmlns:a16="http://schemas.microsoft.com/office/drawing/2014/main" id="{00000000-0008-0000-0500-00007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7</xdr:row>
          <xdr:rowOff>38100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44413" name="Spinner 3453" hidden="1">
              <a:extLst>
                <a:ext uri="{63B3BB69-23CF-44E3-9099-C40C66FF867C}">
                  <a14:compatExt spid="_x0000_s44413"/>
                </a:ext>
                <a:ext uri="{FF2B5EF4-FFF2-40B4-BE49-F238E27FC236}">
                  <a16:creationId xmlns:a16="http://schemas.microsoft.com/office/drawing/2014/main" id="{00000000-0008-0000-0500-00007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8</xdr:row>
          <xdr:rowOff>38100</xdr:rowOff>
        </xdr:from>
        <xdr:to>
          <xdr:col>6</xdr:col>
          <xdr:colOff>0</xdr:colOff>
          <xdr:row>8</xdr:row>
          <xdr:rowOff>361950</xdr:rowOff>
        </xdr:to>
        <xdr:sp macro="" textlink="">
          <xdr:nvSpPr>
            <xdr:cNvPr id="44414" name="Spinner 3454" hidden="1">
              <a:extLst>
                <a:ext uri="{63B3BB69-23CF-44E3-9099-C40C66FF867C}">
                  <a14:compatExt spid="_x0000_s44414"/>
                </a:ext>
                <a:ext uri="{FF2B5EF4-FFF2-40B4-BE49-F238E27FC236}">
                  <a16:creationId xmlns:a16="http://schemas.microsoft.com/office/drawing/2014/main" id="{00000000-0008-0000-0500-00007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9</xdr:row>
          <xdr:rowOff>38100</xdr:rowOff>
        </xdr:from>
        <xdr:to>
          <xdr:col>6</xdr:col>
          <xdr:colOff>0</xdr:colOff>
          <xdr:row>9</xdr:row>
          <xdr:rowOff>361950</xdr:rowOff>
        </xdr:to>
        <xdr:sp macro="" textlink="">
          <xdr:nvSpPr>
            <xdr:cNvPr id="44415" name="Spinner 3455" hidden="1">
              <a:extLst>
                <a:ext uri="{63B3BB69-23CF-44E3-9099-C40C66FF867C}">
                  <a14:compatExt spid="_x0000_s44415"/>
                </a:ext>
                <a:ext uri="{FF2B5EF4-FFF2-40B4-BE49-F238E27FC236}">
                  <a16:creationId xmlns:a16="http://schemas.microsoft.com/office/drawing/2014/main" id="{00000000-0008-0000-0500-00007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10</xdr:row>
          <xdr:rowOff>38100</xdr:rowOff>
        </xdr:from>
        <xdr:to>
          <xdr:col>6</xdr:col>
          <xdr:colOff>0</xdr:colOff>
          <xdr:row>10</xdr:row>
          <xdr:rowOff>361950</xdr:rowOff>
        </xdr:to>
        <xdr:sp macro="" textlink="">
          <xdr:nvSpPr>
            <xdr:cNvPr id="44416" name="Spinner 3456" hidden="1">
              <a:extLst>
                <a:ext uri="{63B3BB69-23CF-44E3-9099-C40C66FF867C}">
                  <a14:compatExt spid="_x0000_s44416"/>
                </a:ext>
                <a:ext uri="{FF2B5EF4-FFF2-40B4-BE49-F238E27FC236}">
                  <a16:creationId xmlns:a16="http://schemas.microsoft.com/office/drawing/2014/main" id="{00000000-0008-0000-0500-00008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1</xdr:row>
          <xdr:rowOff>38100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44417" name="Spinner 3457" hidden="1">
              <a:extLst>
                <a:ext uri="{63B3BB69-23CF-44E3-9099-C40C66FF867C}">
                  <a14:compatExt spid="_x0000_s44417"/>
                </a:ext>
                <a:ext uri="{FF2B5EF4-FFF2-40B4-BE49-F238E27FC236}">
                  <a16:creationId xmlns:a16="http://schemas.microsoft.com/office/drawing/2014/main" id="{00000000-0008-0000-0500-00008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2</xdr:row>
          <xdr:rowOff>38100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44418" name="Spinner 3458" hidden="1">
              <a:extLst>
                <a:ext uri="{63B3BB69-23CF-44E3-9099-C40C66FF867C}">
                  <a14:compatExt spid="_x0000_s44418"/>
                </a:ext>
                <a:ext uri="{FF2B5EF4-FFF2-40B4-BE49-F238E27FC236}">
                  <a16:creationId xmlns:a16="http://schemas.microsoft.com/office/drawing/2014/main" id="{00000000-0008-0000-0500-00008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3</xdr:row>
          <xdr:rowOff>38100</xdr:rowOff>
        </xdr:from>
        <xdr:to>
          <xdr:col>7</xdr:col>
          <xdr:colOff>0</xdr:colOff>
          <xdr:row>3</xdr:row>
          <xdr:rowOff>361950</xdr:rowOff>
        </xdr:to>
        <xdr:sp macro="" textlink="">
          <xdr:nvSpPr>
            <xdr:cNvPr id="44419" name="Spinner 3459" hidden="1">
              <a:extLst>
                <a:ext uri="{63B3BB69-23CF-44E3-9099-C40C66FF867C}">
                  <a14:compatExt spid="_x0000_s44419"/>
                </a:ext>
                <a:ext uri="{FF2B5EF4-FFF2-40B4-BE49-F238E27FC236}">
                  <a16:creationId xmlns:a16="http://schemas.microsoft.com/office/drawing/2014/main" id="{00000000-0008-0000-0500-00008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4</xdr:row>
          <xdr:rowOff>38100</xdr:rowOff>
        </xdr:from>
        <xdr:to>
          <xdr:col>7</xdr:col>
          <xdr:colOff>0</xdr:colOff>
          <xdr:row>4</xdr:row>
          <xdr:rowOff>361950</xdr:rowOff>
        </xdr:to>
        <xdr:sp macro="" textlink="">
          <xdr:nvSpPr>
            <xdr:cNvPr id="44420" name="Spinner 3460" hidden="1">
              <a:extLst>
                <a:ext uri="{63B3BB69-23CF-44E3-9099-C40C66FF867C}">
                  <a14:compatExt spid="_x0000_s44420"/>
                </a:ext>
                <a:ext uri="{FF2B5EF4-FFF2-40B4-BE49-F238E27FC236}">
                  <a16:creationId xmlns:a16="http://schemas.microsoft.com/office/drawing/2014/main" id="{00000000-0008-0000-0500-00008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5</xdr:row>
          <xdr:rowOff>38100</xdr:rowOff>
        </xdr:from>
        <xdr:to>
          <xdr:col>7</xdr:col>
          <xdr:colOff>0</xdr:colOff>
          <xdr:row>5</xdr:row>
          <xdr:rowOff>361950</xdr:rowOff>
        </xdr:to>
        <xdr:sp macro="" textlink="">
          <xdr:nvSpPr>
            <xdr:cNvPr id="44421" name="Spinner 3461" hidden="1">
              <a:extLst>
                <a:ext uri="{63B3BB69-23CF-44E3-9099-C40C66FF867C}">
                  <a14:compatExt spid="_x0000_s44421"/>
                </a:ext>
                <a:ext uri="{FF2B5EF4-FFF2-40B4-BE49-F238E27FC236}">
                  <a16:creationId xmlns:a16="http://schemas.microsoft.com/office/drawing/2014/main" id="{00000000-0008-0000-0500-00008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6</xdr:row>
          <xdr:rowOff>38100</xdr:rowOff>
        </xdr:from>
        <xdr:to>
          <xdr:col>7</xdr:col>
          <xdr:colOff>0</xdr:colOff>
          <xdr:row>6</xdr:row>
          <xdr:rowOff>361950</xdr:rowOff>
        </xdr:to>
        <xdr:sp macro="" textlink="">
          <xdr:nvSpPr>
            <xdr:cNvPr id="44422" name="Spinner 3462" hidden="1">
              <a:extLst>
                <a:ext uri="{63B3BB69-23CF-44E3-9099-C40C66FF867C}">
                  <a14:compatExt spid="_x0000_s44422"/>
                </a:ext>
                <a:ext uri="{FF2B5EF4-FFF2-40B4-BE49-F238E27FC236}">
                  <a16:creationId xmlns:a16="http://schemas.microsoft.com/office/drawing/2014/main" id="{00000000-0008-0000-0500-00008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7</xdr:row>
          <xdr:rowOff>38100</xdr:rowOff>
        </xdr:from>
        <xdr:to>
          <xdr:col>7</xdr:col>
          <xdr:colOff>0</xdr:colOff>
          <xdr:row>7</xdr:row>
          <xdr:rowOff>361950</xdr:rowOff>
        </xdr:to>
        <xdr:sp macro="" textlink="">
          <xdr:nvSpPr>
            <xdr:cNvPr id="44423" name="Spinner 3463" hidden="1">
              <a:extLst>
                <a:ext uri="{63B3BB69-23CF-44E3-9099-C40C66FF867C}">
                  <a14:compatExt spid="_x0000_s44423"/>
                </a:ext>
                <a:ext uri="{FF2B5EF4-FFF2-40B4-BE49-F238E27FC236}">
                  <a16:creationId xmlns:a16="http://schemas.microsoft.com/office/drawing/2014/main" id="{00000000-0008-0000-0500-00008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8</xdr:row>
          <xdr:rowOff>38100</xdr:rowOff>
        </xdr:from>
        <xdr:to>
          <xdr:col>7</xdr:col>
          <xdr:colOff>0</xdr:colOff>
          <xdr:row>8</xdr:row>
          <xdr:rowOff>361950</xdr:rowOff>
        </xdr:to>
        <xdr:sp macro="" textlink="">
          <xdr:nvSpPr>
            <xdr:cNvPr id="44424" name="Spinner 3464" hidden="1">
              <a:extLst>
                <a:ext uri="{63B3BB69-23CF-44E3-9099-C40C66FF867C}">
                  <a14:compatExt spid="_x0000_s44424"/>
                </a:ext>
                <a:ext uri="{FF2B5EF4-FFF2-40B4-BE49-F238E27FC236}">
                  <a16:creationId xmlns:a16="http://schemas.microsoft.com/office/drawing/2014/main" id="{00000000-0008-0000-0500-00008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9</xdr:row>
          <xdr:rowOff>38100</xdr:rowOff>
        </xdr:from>
        <xdr:to>
          <xdr:col>7</xdr:col>
          <xdr:colOff>0</xdr:colOff>
          <xdr:row>9</xdr:row>
          <xdr:rowOff>361950</xdr:rowOff>
        </xdr:to>
        <xdr:sp macro="" textlink="">
          <xdr:nvSpPr>
            <xdr:cNvPr id="44425" name="Spinner 3465" hidden="1">
              <a:extLst>
                <a:ext uri="{63B3BB69-23CF-44E3-9099-C40C66FF867C}">
                  <a14:compatExt spid="_x0000_s44425"/>
                </a:ext>
                <a:ext uri="{FF2B5EF4-FFF2-40B4-BE49-F238E27FC236}">
                  <a16:creationId xmlns:a16="http://schemas.microsoft.com/office/drawing/2014/main" id="{00000000-0008-0000-0500-00008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10</xdr:row>
          <xdr:rowOff>38100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44426" name="Spinner 3466" hidden="1">
              <a:extLst>
                <a:ext uri="{63B3BB69-23CF-44E3-9099-C40C66FF867C}">
                  <a14:compatExt spid="_x0000_s44426"/>
                </a:ext>
                <a:ext uri="{FF2B5EF4-FFF2-40B4-BE49-F238E27FC236}">
                  <a16:creationId xmlns:a16="http://schemas.microsoft.com/office/drawing/2014/main" id="{00000000-0008-0000-0500-00008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1</xdr:row>
          <xdr:rowOff>38100</xdr:rowOff>
        </xdr:from>
        <xdr:to>
          <xdr:col>8</xdr:col>
          <xdr:colOff>0</xdr:colOff>
          <xdr:row>1</xdr:row>
          <xdr:rowOff>361950</xdr:rowOff>
        </xdr:to>
        <xdr:sp macro="" textlink="">
          <xdr:nvSpPr>
            <xdr:cNvPr id="44427" name="Spinner 3467" hidden="1">
              <a:extLst>
                <a:ext uri="{63B3BB69-23CF-44E3-9099-C40C66FF867C}">
                  <a14:compatExt spid="_x0000_s44427"/>
                </a:ext>
                <a:ext uri="{FF2B5EF4-FFF2-40B4-BE49-F238E27FC236}">
                  <a16:creationId xmlns:a16="http://schemas.microsoft.com/office/drawing/2014/main" id="{00000000-0008-0000-0500-00008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2</xdr:row>
          <xdr:rowOff>38100</xdr:rowOff>
        </xdr:from>
        <xdr:to>
          <xdr:col>8</xdr:col>
          <xdr:colOff>0</xdr:colOff>
          <xdr:row>2</xdr:row>
          <xdr:rowOff>361950</xdr:rowOff>
        </xdr:to>
        <xdr:sp macro="" textlink="">
          <xdr:nvSpPr>
            <xdr:cNvPr id="44428" name="Spinner 3468" hidden="1">
              <a:extLst>
                <a:ext uri="{63B3BB69-23CF-44E3-9099-C40C66FF867C}">
                  <a14:compatExt spid="_x0000_s44428"/>
                </a:ext>
                <a:ext uri="{FF2B5EF4-FFF2-40B4-BE49-F238E27FC236}">
                  <a16:creationId xmlns:a16="http://schemas.microsoft.com/office/drawing/2014/main" id="{00000000-0008-0000-0500-00008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3</xdr:row>
          <xdr:rowOff>38100</xdr:rowOff>
        </xdr:from>
        <xdr:to>
          <xdr:col>8</xdr:col>
          <xdr:colOff>0</xdr:colOff>
          <xdr:row>3</xdr:row>
          <xdr:rowOff>361950</xdr:rowOff>
        </xdr:to>
        <xdr:sp macro="" textlink="">
          <xdr:nvSpPr>
            <xdr:cNvPr id="44429" name="Spinner 3469" hidden="1">
              <a:extLst>
                <a:ext uri="{63B3BB69-23CF-44E3-9099-C40C66FF867C}">
                  <a14:compatExt spid="_x0000_s44429"/>
                </a:ext>
                <a:ext uri="{FF2B5EF4-FFF2-40B4-BE49-F238E27FC236}">
                  <a16:creationId xmlns:a16="http://schemas.microsoft.com/office/drawing/2014/main" id="{00000000-0008-0000-0500-00008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4</xdr:row>
          <xdr:rowOff>38100</xdr:rowOff>
        </xdr:from>
        <xdr:to>
          <xdr:col>8</xdr:col>
          <xdr:colOff>0</xdr:colOff>
          <xdr:row>4</xdr:row>
          <xdr:rowOff>361950</xdr:rowOff>
        </xdr:to>
        <xdr:sp macro="" textlink="">
          <xdr:nvSpPr>
            <xdr:cNvPr id="44430" name="Spinner 3470" hidden="1">
              <a:extLst>
                <a:ext uri="{63B3BB69-23CF-44E3-9099-C40C66FF867C}">
                  <a14:compatExt spid="_x0000_s44430"/>
                </a:ext>
                <a:ext uri="{FF2B5EF4-FFF2-40B4-BE49-F238E27FC236}">
                  <a16:creationId xmlns:a16="http://schemas.microsoft.com/office/drawing/2014/main" id="{00000000-0008-0000-0500-00008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5</xdr:row>
          <xdr:rowOff>38100</xdr:rowOff>
        </xdr:from>
        <xdr:to>
          <xdr:col>8</xdr:col>
          <xdr:colOff>0</xdr:colOff>
          <xdr:row>5</xdr:row>
          <xdr:rowOff>361950</xdr:rowOff>
        </xdr:to>
        <xdr:sp macro="" textlink="">
          <xdr:nvSpPr>
            <xdr:cNvPr id="44431" name="Spinner 3471" hidden="1">
              <a:extLst>
                <a:ext uri="{63B3BB69-23CF-44E3-9099-C40C66FF867C}">
                  <a14:compatExt spid="_x0000_s44431"/>
                </a:ext>
                <a:ext uri="{FF2B5EF4-FFF2-40B4-BE49-F238E27FC236}">
                  <a16:creationId xmlns:a16="http://schemas.microsoft.com/office/drawing/2014/main" id="{00000000-0008-0000-0500-00008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6</xdr:row>
          <xdr:rowOff>38100</xdr:rowOff>
        </xdr:from>
        <xdr:to>
          <xdr:col>8</xdr:col>
          <xdr:colOff>0</xdr:colOff>
          <xdr:row>6</xdr:row>
          <xdr:rowOff>361950</xdr:rowOff>
        </xdr:to>
        <xdr:sp macro="" textlink="">
          <xdr:nvSpPr>
            <xdr:cNvPr id="44432" name="Spinner 3472" hidden="1">
              <a:extLst>
                <a:ext uri="{63B3BB69-23CF-44E3-9099-C40C66FF867C}">
                  <a14:compatExt spid="_x0000_s44432"/>
                </a:ext>
                <a:ext uri="{FF2B5EF4-FFF2-40B4-BE49-F238E27FC236}">
                  <a16:creationId xmlns:a16="http://schemas.microsoft.com/office/drawing/2014/main" id="{00000000-0008-0000-0500-00009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7</xdr:row>
          <xdr:rowOff>38100</xdr:rowOff>
        </xdr:from>
        <xdr:to>
          <xdr:col>8</xdr:col>
          <xdr:colOff>0</xdr:colOff>
          <xdr:row>7</xdr:row>
          <xdr:rowOff>361950</xdr:rowOff>
        </xdr:to>
        <xdr:sp macro="" textlink="">
          <xdr:nvSpPr>
            <xdr:cNvPr id="44433" name="Spinner 3473" hidden="1">
              <a:extLst>
                <a:ext uri="{63B3BB69-23CF-44E3-9099-C40C66FF867C}">
                  <a14:compatExt spid="_x0000_s44433"/>
                </a:ext>
                <a:ext uri="{FF2B5EF4-FFF2-40B4-BE49-F238E27FC236}">
                  <a16:creationId xmlns:a16="http://schemas.microsoft.com/office/drawing/2014/main" id="{00000000-0008-0000-0500-00009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8</xdr:row>
          <xdr:rowOff>38100</xdr:rowOff>
        </xdr:from>
        <xdr:to>
          <xdr:col>8</xdr:col>
          <xdr:colOff>0</xdr:colOff>
          <xdr:row>8</xdr:row>
          <xdr:rowOff>361950</xdr:rowOff>
        </xdr:to>
        <xdr:sp macro="" textlink="">
          <xdr:nvSpPr>
            <xdr:cNvPr id="44434" name="Spinner 3474" hidden="1">
              <a:extLst>
                <a:ext uri="{63B3BB69-23CF-44E3-9099-C40C66FF867C}">
                  <a14:compatExt spid="_x0000_s44434"/>
                </a:ext>
                <a:ext uri="{FF2B5EF4-FFF2-40B4-BE49-F238E27FC236}">
                  <a16:creationId xmlns:a16="http://schemas.microsoft.com/office/drawing/2014/main" id="{00000000-0008-0000-0500-00009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9</xdr:row>
          <xdr:rowOff>38100</xdr:rowOff>
        </xdr:from>
        <xdr:to>
          <xdr:col>8</xdr:col>
          <xdr:colOff>0</xdr:colOff>
          <xdr:row>9</xdr:row>
          <xdr:rowOff>361950</xdr:rowOff>
        </xdr:to>
        <xdr:sp macro="" textlink="">
          <xdr:nvSpPr>
            <xdr:cNvPr id="44435" name="Spinner 3475" hidden="1">
              <a:extLst>
                <a:ext uri="{63B3BB69-23CF-44E3-9099-C40C66FF867C}">
                  <a14:compatExt spid="_x0000_s44435"/>
                </a:ext>
                <a:ext uri="{FF2B5EF4-FFF2-40B4-BE49-F238E27FC236}">
                  <a16:creationId xmlns:a16="http://schemas.microsoft.com/office/drawing/2014/main" id="{00000000-0008-0000-0500-00009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10</xdr:row>
          <xdr:rowOff>38100</xdr:rowOff>
        </xdr:from>
        <xdr:to>
          <xdr:col>8</xdr:col>
          <xdr:colOff>0</xdr:colOff>
          <xdr:row>10</xdr:row>
          <xdr:rowOff>361950</xdr:rowOff>
        </xdr:to>
        <xdr:sp macro="" textlink="">
          <xdr:nvSpPr>
            <xdr:cNvPr id="44436" name="Spinner 3476" hidden="1">
              <a:extLst>
                <a:ext uri="{63B3BB69-23CF-44E3-9099-C40C66FF867C}">
                  <a14:compatExt spid="_x0000_s44436"/>
                </a:ext>
                <a:ext uri="{FF2B5EF4-FFF2-40B4-BE49-F238E27FC236}">
                  <a16:creationId xmlns:a16="http://schemas.microsoft.com/office/drawing/2014/main" id="{00000000-0008-0000-0500-00009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1</xdr:row>
          <xdr:rowOff>38100</xdr:rowOff>
        </xdr:from>
        <xdr:to>
          <xdr:col>9</xdr:col>
          <xdr:colOff>0</xdr:colOff>
          <xdr:row>1</xdr:row>
          <xdr:rowOff>361950</xdr:rowOff>
        </xdr:to>
        <xdr:sp macro="" textlink="">
          <xdr:nvSpPr>
            <xdr:cNvPr id="44437" name="Spinner 3477" hidden="1">
              <a:extLst>
                <a:ext uri="{63B3BB69-23CF-44E3-9099-C40C66FF867C}">
                  <a14:compatExt spid="_x0000_s44437"/>
                </a:ext>
                <a:ext uri="{FF2B5EF4-FFF2-40B4-BE49-F238E27FC236}">
                  <a16:creationId xmlns:a16="http://schemas.microsoft.com/office/drawing/2014/main" id="{00000000-0008-0000-0500-00009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2</xdr:row>
          <xdr:rowOff>38100</xdr:rowOff>
        </xdr:from>
        <xdr:to>
          <xdr:col>9</xdr:col>
          <xdr:colOff>0</xdr:colOff>
          <xdr:row>2</xdr:row>
          <xdr:rowOff>361950</xdr:rowOff>
        </xdr:to>
        <xdr:sp macro="" textlink="">
          <xdr:nvSpPr>
            <xdr:cNvPr id="44438" name="Spinner 3478" hidden="1">
              <a:extLst>
                <a:ext uri="{63B3BB69-23CF-44E3-9099-C40C66FF867C}">
                  <a14:compatExt spid="_x0000_s44438"/>
                </a:ext>
                <a:ext uri="{FF2B5EF4-FFF2-40B4-BE49-F238E27FC236}">
                  <a16:creationId xmlns:a16="http://schemas.microsoft.com/office/drawing/2014/main" id="{00000000-0008-0000-0500-00009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3</xdr:row>
          <xdr:rowOff>38100</xdr:rowOff>
        </xdr:from>
        <xdr:to>
          <xdr:col>9</xdr:col>
          <xdr:colOff>0</xdr:colOff>
          <xdr:row>3</xdr:row>
          <xdr:rowOff>361950</xdr:rowOff>
        </xdr:to>
        <xdr:sp macro="" textlink="">
          <xdr:nvSpPr>
            <xdr:cNvPr id="44439" name="Spinner 3479" hidden="1">
              <a:extLst>
                <a:ext uri="{63B3BB69-23CF-44E3-9099-C40C66FF867C}">
                  <a14:compatExt spid="_x0000_s44439"/>
                </a:ext>
                <a:ext uri="{FF2B5EF4-FFF2-40B4-BE49-F238E27FC236}">
                  <a16:creationId xmlns:a16="http://schemas.microsoft.com/office/drawing/2014/main" id="{00000000-0008-0000-0500-00009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4</xdr:row>
          <xdr:rowOff>38100</xdr:rowOff>
        </xdr:from>
        <xdr:to>
          <xdr:col>9</xdr:col>
          <xdr:colOff>0</xdr:colOff>
          <xdr:row>4</xdr:row>
          <xdr:rowOff>361950</xdr:rowOff>
        </xdr:to>
        <xdr:sp macro="" textlink="">
          <xdr:nvSpPr>
            <xdr:cNvPr id="44440" name="Spinner 3480" hidden="1">
              <a:extLst>
                <a:ext uri="{63B3BB69-23CF-44E3-9099-C40C66FF867C}">
                  <a14:compatExt spid="_x0000_s44440"/>
                </a:ext>
                <a:ext uri="{FF2B5EF4-FFF2-40B4-BE49-F238E27FC236}">
                  <a16:creationId xmlns:a16="http://schemas.microsoft.com/office/drawing/2014/main" id="{00000000-0008-0000-0500-00009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5</xdr:row>
          <xdr:rowOff>38100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44441" name="Spinner 3481" hidden="1">
              <a:extLst>
                <a:ext uri="{63B3BB69-23CF-44E3-9099-C40C66FF867C}">
                  <a14:compatExt spid="_x0000_s44441"/>
                </a:ext>
                <a:ext uri="{FF2B5EF4-FFF2-40B4-BE49-F238E27FC236}">
                  <a16:creationId xmlns:a16="http://schemas.microsoft.com/office/drawing/2014/main" id="{00000000-0008-0000-0500-00009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6</xdr:row>
          <xdr:rowOff>38100</xdr:rowOff>
        </xdr:from>
        <xdr:to>
          <xdr:col>9</xdr:col>
          <xdr:colOff>0</xdr:colOff>
          <xdr:row>6</xdr:row>
          <xdr:rowOff>361950</xdr:rowOff>
        </xdr:to>
        <xdr:sp macro="" textlink="">
          <xdr:nvSpPr>
            <xdr:cNvPr id="44442" name="Spinner 3482" hidden="1">
              <a:extLst>
                <a:ext uri="{63B3BB69-23CF-44E3-9099-C40C66FF867C}">
                  <a14:compatExt spid="_x0000_s44442"/>
                </a:ext>
                <a:ext uri="{FF2B5EF4-FFF2-40B4-BE49-F238E27FC236}">
                  <a16:creationId xmlns:a16="http://schemas.microsoft.com/office/drawing/2014/main" id="{00000000-0008-0000-0500-00009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7</xdr:row>
          <xdr:rowOff>38100</xdr:rowOff>
        </xdr:from>
        <xdr:to>
          <xdr:col>9</xdr:col>
          <xdr:colOff>0</xdr:colOff>
          <xdr:row>7</xdr:row>
          <xdr:rowOff>361950</xdr:rowOff>
        </xdr:to>
        <xdr:sp macro="" textlink="">
          <xdr:nvSpPr>
            <xdr:cNvPr id="44443" name="Spinner 3483" hidden="1">
              <a:extLst>
                <a:ext uri="{63B3BB69-23CF-44E3-9099-C40C66FF867C}">
                  <a14:compatExt spid="_x0000_s44443"/>
                </a:ext>
                <a:ext uri="{FF2B5EF4-FFF2-40B4-BE49-F238E27FC236}">
                  <a16:creationId xmlns:a16="http://schemas.microsoft.com/office/drawing/2014/main" id="{00000000-0008-0000-0500-00009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8</xdr:row>
          <xdr:rowOff>38100</xdr:rowOff>
        </xdr:from>
        <xdr:to>
          <xdr:col>9</xdr:col>
          <xdr:colOff>0</xdr:colOff>
          <xdr:row>8</xdr:row>
          <xdr:rowOff>361950</xdr:rowOff>
        </xdr:to>
        <xdr:sp macro="" textlink="">
          <xdr:nvSpPr>
            <xdr:cNvPr id="44444" name="Spinner 3484" hidden="1">
              <a:extLst>
                <a:ext uri="{63B3BB69-23CF-44E3-9099-C40C66FF867C}">
                  <a14:compatExt spid="_x0000_s44444"/>
                </a:ext>
                <a:ext uri="{FF2B5EF4-FFF2-40B4-BE49-F238E27FC236}">
                  <a16:creationId xmlns:a16="http://schemas.microsoft.com/office/drawing/2014/main" id="{00000000-0008-0000-0500-00009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9</xdr:row>
          <xdr:rowOff>38100</xdr:rowOff>
        </xdr:from>
        <xdr:to>
          <xdr:col>9</xdr:col>
          <xdr:colOff>0</xdr:colOff>
          <xdr:row>9</xdr:row>
          <xdr:rowOff>361950</xdr:rowOff>
        </xdr:to>
        <xdr:sp macro="" textlink="">
          <xdr:nvSpPr>
            <xdr:cNvPr id="44445" name="Spinner 3485" hidden="1">
              <a:extLst>
                <a:ext uri="{63B3BB69-23CF-44E3-9099-C40C66FF867C}">
                  <a14:compatExt spid="_x0000_s44445"/>
                </a:ext>
                <a:ext uri="{FF2B5EF4-FFF2-40B4-BE49-F238E27FC236}">
                  <a16:creationId xmlns:a16="http://schemas.microsoft.com/office/drawing/2014/main" id="{00000000-0008-0000-0500-00009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10</xdr:row>
          <xdr:rowOff>38100</xdr:rowOff>
        </xdr:from>
        <xdr:to>
          <xdr:col>9</xdr:col>
          <xdr:colOff>0</xdr:colOff>
          <xdr:row>10</xdr:row>
          <xdr:rowOff>361950</xdr:rowOff>
        </xdr:to>
        <xdr:sp macro="" textlink="">
          <xdr:nvSpPr>
            <xdr:cNvPr id="44446" name="Spinner 3486" hidden="1">
              <a:extLst>
                <a:ext uri="{63B3BB69-23CF-44E3-9099-C40C66FF867C}">
                  <a14:compatExt spid="_x0000_s44446"/>
                </a:ext>
                <a:ext uri="{FF2B5EF4-FFF2-40B4-BE49-F238E27FC236}">
                  <a16:creationId xmlns:a16="http://schemas.microsoft.com/office/drawing/2014/main" id="{00000000-0008-0000-0500-00009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1</xdr:row>
          <xdr:rowOff>38100</xdr:rowOff>
        </xdr:from>
        <xdr:to>
          <xdr:col>10</xdr:col>
          <xdr:colOff>0</xdr:colOff>
          <xdr:row>1</xdr:row>
          <xdr:rowOff>361950</xdr:rowOff>
        </xdr:to>
        <xdr:sp macro="" textlink="">
          <xdr:nvSpPr>
            <xdr:cNvPr id="44447" name="Spinner 3487" hidden="1">
              <a:extLst>
                <a:ext uri="{63B3BB69-23CF-44E3-9099-C40C66FF867C}">
                  <a14:compatExt spid="_x0000_s44447"/>
                </a:ext>
                <a:ext uri="{FF2B5EF4-FFF2-40B4-BE49-F238E27FC236}">
                  <a16:creationId xmlns:a16="http://schemas.microsoft.com/office/drawing/2014/main" id="{00000000-0008-0000-0500-00009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2</xdr:row>
          <xdr:rowOff>38100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44448" name="Spinner 3488" hidden="1">
              <a:extLst>
                <a:ext uri="{63B3BB69-23CF-44E3-9099-C40C66FF867C}">
                  <a14:compatExt spid="_x0000_s44448"/>
                </a:ext>
                <a:ext uri="{FF2B5EF4-FFF2-40B4-BE49-F238E27FC236}">
                  <a16:creationId xmlns:a16="http://schemas.microsoft.com/office/drawing/2014/main" id="{00000000-0008-0000-0500-0000A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3</xdr:row>
          <xdr:rowOff>38100</xdr:rowOff>
        </xdr:from>
        <xdr:to>
          <xdr:col>10</xdr:col>
          <xdr:colOff>0</xdr:colOff>
          <xdr:row>3</xdr:row>
          <xdr:rowOff>361950</xdr:rowOff>
        </xdr:to>
        <xdr:sp macro="" textlink="">
          <xdr:nvSpPr>
            <xdr:cNvPr id="44449" name="Spinner 3489" hidden="1">
              <a:extLst>
                <a:ext uri="{63B3BB69-23CF-44E3-9099-C40C66FF867C}">
                  <a14:compatExt spid="_x0000_s44449"/>
                </a:ext>
                <a:ext uri="{FF2B5EF4-FFF2-40B4-BE49-F238E27FC236}">
                  <a16:creationId xmlns:a16="http://schemas.microsoft.com/office/drawing/2014/main" id="{00000000-0008-0000-0500-0000A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4</xdr:row>
          <xdr:rowOff>38100</xdr:rowOff>
        </xdr:from>
        <xdr:to>
          <xdr:col>10</xdr:col>
          <xdr:colOff>0</xdr:colOff>
          <xdr:row>4</xdr:row>
          <xdr:rowOff>361950</xdr:rowOff>
        </xdr:to>
        <xdr:sp macro="" textlink="">
          <xdr:nvSpPr>
            <xdr:cNvPr id="44450" name="Spinner 3490" hidden="1">
              <a:extLst>
                <a:ext uri="{63B3BB69-23CF-44E3-9099-C40C66FF867C}">
                  <a14:compatExt spid="_x0000_s44450"/>
                </a:ext>
                <a:ext uri="{FF2B5EF4-FFF2-40B4-BE49-F238E27FC236}">
                  <a16:creationId xmlns:a16="http://schemas.microsoft.com/office/drawing/2014/main" id="{00000000-0008-0000-0500-0000A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5</xdr:row>
          <xdr:rowOff>38100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44451" name="Spinner 3491" hidden="1">
              <a:extLst>
                <a:ext uri="{63B3BB69-23CF-44E3-9099-C40C66FF867C}">
                  <a14:compatExt spid="_x0000_s44451"/>
                </a:ext>
                <a:ext uri="{FF2B5EF4-FFF2-40B4-BE49-F238E27FC236}">
                  <a16:creationId xmlns:a16="http://schemas.microsoft.com/office/drawing/2014/main" id="{00000000-0008-0000-0500-0000A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6</xdr:row>
          <xdr:rowOff>38100</xdr:rowOff>
        </xdr:from>
        <xdr:to>
          <xdr:col>10</xdr:col>
          <xdr:colOff>0</xdr:colOff>
          <xdr:row>6</xdr:row>
          <xdr:rowOff>361950</xdr:rowOff>
        </xdr:to>
        <xdr:sp macro="" textlink="">
          <xdr:nvSpPr>
            <xdr:cNvPr id="44452" name="Spinner 3492" hidden="1">
              <a:extLst>
                <a:ext uri="{63B3BB69-23CF-44E3-9099-C40C66FF867C}">
                  <a14:compatExt spid="_x0000_s44452"/>
                </a:ext>
                <a:ext uri="{FF2B5EF4-FFF2-40B4-BE49-F238E27FC236}">
                  <a16:creationId xmlns:a16="http://schemas.microsoft.com/office/drawing/2014/main" id="{00000000-0008-0000-0500-0000A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7</xdr:row>
          <xdr:rowOff>38100</xdr:rowOff>
        </xdr:from>
        <xdr:to>
          <xdr:col>10</xdr:col>
          <xdr:colOff>0</xdr:colOff>
          <xdr:row>7</xdr:row>
          <xdr:rowOff>361950</xdr:rowOff>
        </xdr:to>
        <xdr:sp macro="" textlink="">
          <xdr:nvSpPr>
            <xdr:cNvPr id="44453" name="Spinner 3493" hidden="1">
              <a:extLst>
                <a:ext uri="{63B3BB69-23CF-44E3-9099-C40C66FF867C}">
                  <a14:compatExt spid="_x0000_s44453"/>
                </a:ext>
                <a:ext uri="{FF2B5EF4-FFF2-40B4-BE49-F238E27FC236}">
                  <a16:creationId xmlns:a16="http://schemas.microsoft.com/office/drawing/2014/main" id="{00000000-0008-0000-0500-0000A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8</xdr:row>
          <xdr:rowOff>38100</xdr:rowOff>
        </xdr:from>
        <xdr:to>
          <xdr:col>10</xdr:col>
          <xdr:colOff>0</xdr:colOff>
          <xdr:row>8</xdr:row>
          <xdr:rowOff>361950</xdr:rowOff>
        </xdr:to>
        <xdr:sp macro="" textlink="">
          <xdr:nvSpPr>
            <xdr:cNvPr id="44454" name="Spinner 3494" hidden="1">
              <a:extLst>
                <a:ext uri="{63B3BB69-23CF-44E3-9099-C40C66FF867C}">
                  <a14:compatExt spid="_x0000_s44454"/>
                </a:ext>
                <a:ext uri="{FF2B5EF4-FFF2-40B4-BE49-F238E27FC236}">
                  <a16:creationId xmlns:a16="http://schemas.microsoft.com/office/drawing/2014/main" id="{00000000-0008-0000-0500-0000A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9</xdr:row>
          <xdr:rowOff>38100</xdr:rowOff>
        </xdr:from>
        <xdr:to>
          <xdr:col>10</xdr:col>
          <xdr:colOff>0</xdr:colOff>
          <xdr:row>9</xdr:row>
          <xdr:rowOff>361950</xdr:rowOff>
        </xdr:to>
        <xdr:sp macro="" textlink="">
          <xdr:nvSpPr>
            <xdr:cNvPr id="44455" name="Spinner 3495" hidden="1">
              <a:extLst>
                <a:ext uri="{63B3BB69-23CF-44E3-9099-C40C66FF867C}">
                  <a14:compatExt spid="_x0000_s44455"/>
                </a:ext>
                <a:ext uri="{FF2B5EF4-FFF2-40B4-BE49-F238E27FC236}">
                  <a16:creationId xmlns:a16="http://schemas.microsoft.com/office/drawing/2014/main" id="{00000000-0008-0000-0500-0000A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10</xdr:row>
          <xdr:rowOff>38100</xdr:rowOff>
        </xdr:from>
        <xdr:to>
          <xdr:col>10</xdr:col>
          <xdr:colOff>0</xdr:colOff>
          <xdr:row>10</xdr:row>
          <xdr:rowOff>361950</xdr:rowOff>
        </xdr:to>
        <xdr:sp macro="" textlink="">
          <xdr:nvSpPr>
            <xdr:cNvPr id="44456" name="Spinner 3496" hidden="1">
              <a:extLst>
                <a:ext uri="{63B3BB69-23CF-44E3-9099-C40C66FF867C}">
                  <a14:compatExt spid="_x0000_s44456"/>
                </a:ext>
                <a:ext uri="{FF2B5EF4-FFF2-40B4-BE49-F238E27FC236}">
                  <a16:creationId xmlns:a16="http://schemas.microsoft.com/office/drawing/2014/main" id="{00000000-0008-0000-0500-0000A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1</xdr:row>
          <xdr:rowOff>38100</xdr:rowOff>
        </xdr:from>
        <xdr:to>
          <xdr:col>11</xdr:col>
          <xdr:colOff>0</xdr:colOff>
          <xdr:row>1</xdr:row>
          <xdr:rowOff>361950</xdr:rowOff>
        </xdr:to>
        <xdr:sp macro="" textlink="">
          <xdr:nvSpPr>
            <xdr:cNvPr id="44457" name="Spinner 3497" hidden="1">
              <a:extLst>
                <a:ext uri="{63B3BB69-23CF-44E3-9099-C40C66FF867C}">
                  <a14:compatExt spid="_x0000_s44457"/>
                </a:ext>
                <a:ext uri="{FF2B5EF4-FFF2-40B4-BE49-F238E27FC236}">
                  <a16:creationId xmlns:a16="http://schemas.microsoft.com/office/drawing/2014/main" id="{00000000-0008-0000-0500-0000A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2</xdr:row>
          <xdr:rowOff>38100</xdr:rowOff>
        </xdr:from>
        <xdr:to>
          <xdr:col>11</xdr:col>
          <xdr:colOff>0</xdr:colOff>
          <xdr:row>2</xdr:row>
          <xdr:rowOff>361950</xdr:rowOff>
        </xdr:to>
        <xdr:sp macro="" textlink="">
          <xdr:nvSpPr>
            <xdr:cNvPr id="44458" name="Spinner 3498" hidden="1">
              <a:extLst>
                <a:ext uri="{63B3BB69-23CF-44E3-9099-C40C66FF867C}">
                  <a14:compatExt spid="_x0000_s44458"/>
                </a:ext>
                <a:ext uri="{FF2B5EF4-FFF2-40B4-BE49-F238E27FC236}">
                  <a16:creationId xmlns:a16="http://schemas.microsoft.com/office/drawing/2014/main" id="{00000000-0008-0000-0500-0000A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3</xdr:row>
          <xdr:rowOff>38100</xdr:rowOff>
        </xdr:from>
        <xdr:to>
          <xdr:col>11</xdr:col>
          <xdr:colOff>0</xdr:colOff>
          <xdr:row>3</xdr:row>
          <xdr:rowOff>361950</xdr:rowOff>
        </xdr:to>
        <xdr:sp macro="" textlink="">
          <xdr:nvSpPr>
            <xdr:cNvPr id="44459" name="Spinner 3499" hidden="1">
              <a:extLst>
                <a:ext uri="{63B3BB69-23CF-44E3-9099-C40C66FF867C}">
                  <a14:compatExt spid="_x0000_s44459"/>
                </a:ext>
                <a:ext uri="{FF2B5EF4-FFF2-40B4-BE49-F238E27FC236}">
                  <a16:creationId xmlns:a16="http://schemas.microsoft.com/office/drawing/2014/main" id="{00000000-0008-0000-0500-0000A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4</xdr:row>
          <xdr:rowOff>38100</xdr:rowOff>
        </xdr:from>
        <xdr:to>
          <xdr:col>11</xdr:col>
          <xdr:colOff>0</xdr:colOff>
          <xdr:row>4</xdr:row>
          <xdr:rowOff>361950</xdr:rowOff>
        </xdr:to>
        <xdr:sp macro="" textlink="">
          <xdr:nvSpPr>
            <xdr:cNvPr id="44460" name="Spinner 3500" hidden="1">
              <a:extLst>
                <a:ext uri="{63B3BB69-23CF-44E3-9099-C40C66FF867C}">
                  <a14:compatExt spid="_x0000_s44460"/>
                </a:ext>
                <a:ext uri="{FF2B5EF4-FFF2-40B4-BE49-F238E27FC236}">
                  <a16:creationId xmlns:a16="http://schemas.microsoft.com/office/drawing/2014/main" id="{00000000-0008-0000-0500-0000A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5</xdr:row>
          <xdr:rowOff>38100</xdr:rowOff>
        </xdr:from>
        <xdr:to>
          <xdr:col>11</xdr:col>
          <xdr:colOff>0</xdr:colOff>
          <xdr:row>5</xdr:row>
          <xdr:rowOff>361950</xdr:rowOff>
        </xdr:to>
        <xdr:sp macro="" textlink="">
          <xdr:nvSpPr>
            <xdr:cNvPr id="44461" name="Spinner 3501" hidden="1">
              <a:extLst>
                <a:ext uri="{63B3BB69-23CF-44E3-9099-C40C66FF867C}">
                  <a14:compatExt spid="_x0000_s44461"/>
                </a:ext>
                <a:ext uri="{FF2B5EF4-FFF2-40B4-BE49-F238E27FC236}">
                  <a16:creationId xmlns:a16="http://schemas.microsoft.com/office/drawing/2014/main" id="{00000000-0008-0000-0500-0000A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6</xdr:row>
          <xdr:rowOff>38100</xdr:rowOff>
        </xdr:from>
        <xdr:to>
          <xdr:col>11</xdr:col>
          <xdr:colOff>0</xdr:colOff>
          <xdr:row>6</xdr:row>
          <xdr:rowOff>361950</xdr:rowOff>
        </xdr:to>
        <xdr:sp macro="" textlink="">
          <xdr:nvSpPr>
            <xdr:cNvPr id="44462" name="Spinner 3502" hidden="1">
              <a:extLst>
                <a:ext uri="{63B3BB69-23CF-44E3-9099-C40C66FF867C}">
                  <a14:compatExt spid="_x0000_s44462"/>
                </a:ext>
                <a:ext uri="{FF2B5EF4-FFF2-40B4-BE49-F238E27FC236}">
                  <a16:creationId xmlns:a16="http://schemas.microsoft.com/office/drawing/2014/main" id="{00000000-0008-0000-0500-0000A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7</xdr:row>
          <xdr:rowOff>38100</xdr:rowOff>
        </xdr:from>
        <xdr:to>
          <xdr:col>11</xdr:col>
          <xdr:colOff>0</xdr:colOff>
          <xdr:row>7</xdr:row>
          <xdr:rowOff>361950</xdr:rowOff>
        </xdr:to>
        <xdr:sp macro="" textlink="">
          <xdr:nvSpPr>
            <xdr:cNvPr id="44463" name="Spinner 3503" hidden="1">
              <a:extLst>
                <a:ext uri="{63B3BB69-23CF-44E3-9099-C40C66FF867C}">
                  <a14:compatExt spid="_x0000_s44463"/>
                </a:ext>
                <a:ext uri="{FF2B5EF4-FFF2-40B4-BE49-F238E27FC236}">
                  <a16:creationId xmlns:a16="http://schemas.microsoft.com/office/drawing/2014/main" id="{00000000-0008-0000-0500-0000A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8</xdr:row>
          <xdr:rowOff>38100</xdr:rowOff>
        </xdr:from>
        <xdr:to>
          <xdr:col>11</xdr:col>
          <xdr:colOff>0</xdr:colOff>
          <xdr:row>8</xdr:row>
          <xdr:rowOff>361950</xdr:rowOff>
        </xdr:to>
        <xdr:sp macro="" textlink="">
          <xdr:nvSpPr>
            <xdr:cNvPr id="44464" name="Spinner 3504" hidden="1">
              <a:extLst>
                <a:ext uri="{63B3BB69-23CF-44E3-9099-C40C66FF867C}">
                  <a14:compatExt spid="_x0000_s44464"/>
                </a:ext>
                <a:ext uri="{FF2B5EF4-FFF2-40B4-BE49-F238E27FC236}">
                  <a16:creationId xmlns:a16="http://schemas.microsoft.com/office/drawing/2014/main" id="{00000000-0008-0000-0500-0000B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9</xdr:row>
          <xdr:rowOff>38100</xdr:rowOff>
        </xdr:from>
        <xdr:to>
          <xdr:col>11</xdr:col>
          <xdr:colOff>0</xdr:colOff>
          <xdr:row>9</xdr:row>
          <xdr:rowOff>361950</xdr:rowOff>
        </xdr:to>
        <xdr:sp macro="" textlink="">
          <xdr:nvSpPr>
            <xdr:cNvPr id="44465" name="Spinner 3505" hidden="1">
              <a:extLst>
                <a:ext uri="{63B3BB69-23CF-44E3-9099-C40C66FF867C}">
                  <a14:compatExt spid="_x0000_s44465"/>
                </a:ext>
                <a:ext uri="{FF2B5EF4-FFF2-40B4-BE49-F238E27FC236}">
                  <a16:creationId xmlns:a16="http://schemas.microsoft.com/office/drawing/2014/main" id="{00000000-0008-0000-0500-0000B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10</xdr:row>
          <xdr:rowOff>38100</xdr:rowOff>
        </xdr:from>
        <xdr:to>
          <xdr:col>11</xdr:col>
          <xdr:colOff>0</xdr:colOff>
          <xdr:row>10</xdr:row>
          <xdr:rowOff>361950</xdr:rowOff>
        </xdr:to>
        <xdr:sp macro="" textlink="">
          <xdr:nvSpPr>
            <xdr:cNvPr id="44466" name="Spinner 3506" hidden="1">
              <a:extLst>
                <a:ext uri="{63B3BB69-23CF-44E3-9099-C40C66FF867C}">
                  <a14:compatExt spid="_x0000_s44466"/>
                </a:ext>
                <a:ext uri="{FF2B5EF4-FFF2-40B4-BE49-F238E27FC236}">
                  <a16:creationId xmlns:a16="http://schemas.microsoft.com/office/drawing/2014/main" id="{00000000-0008-0000-0500-0000B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1</xdr:row>
          <xdr:rowOff>38100</xdr:rowOff>
        </xdr:from>
        <xdr:to>
          <xdr:col>12</xdr:col>
          <xdr:colOff>0</xdr:colOff>
          <xdr:row>1</xdr:row>
          <xdr:rowOff>361950</xdr:rowOff>
        </xdr:to>
        <xdr:sp macro="" textlink="">
          <xdr:nvSpPr>
            <xdr:cNvPr id="44467" name="Spinner 3507" hidden="1">
              <a:extLst>
                <a:ext uri="{63B3BB69-23CF-44E3-9099-C40C66FF867C}">
                  <a14:compatExt spid="_x0000_s44467"/>
                </a:ext>
                <a:ext uri="{FF2B5EF4-FFF2-40B4-BE49-F238E27FC236}">
                  <a16:creationId xmlns:a16="http://schemas.microsoft.com/office/drawing/2014/main" id="{00000000-0008-0000-0500-0000B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2</xdr:row>
          <xdr:rowOff>38100</xdr:rowOff>
        </xdr:from>
        <xdr:to>
          <xdr:col>12</xdr:col>
          <xdr:colOff>0</xdr:colOff>
          <xdr:row>2</xdr:row>
          <xdr:rowOff>361950</xdr:rowOff>
        </xdr:to>
        <xdr:sp macro="" textlink="">
          <xdr:nvSpPr>
            <xdr:cNvPr id="44468" name="Spinner 3508" hidden="1">
              <a:extLst>
                <a:ext uri="{63B3BB69-23CF-44E3-9099-C40C66FF867C}">
                  <a14:compatExt spid="_x0000_s44468"/>
                </a:ext>
                <a:ext uri="{FF2B5EF4-FFF2-40B4-BE49-F238E27FC236}">
                  <a16:creationId xmlns:a16="http://schemas.microsoft.com/office/drawing/2014/main" id="{00000000-0008-0000-0500-0000B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3</xdr:row>
          <xdr:rowOff>38100</xdr:rowOff>
        </xdr:from>
        <xdr:to>
          <xdr:col>12</xdr:col>
          <xdr:colOff>0</xdr:colOff>
          <xdr:row>3</xdr:row>
          <xdr:rowOff>361950</xdr:rowOff>
        </xdr:to>
        <xdr:sp macro="" textlink="">
          <xdr:nvSpPr>
            <xdr:cNvPr id="44469" name="Spinner 3509" hidden="1">
              <a:extLst>
                <a:ext uri="{63B3BB69-23CF-44E3-9099-C40C66FF867C}">
                  <a14:compatExt spid="_x0000_s44469"/>
                </a:ext>
                <a:ext uri="{FF2B5EF4-FFF2-40B4-BE49-F238E27FC236}">
                  <a16:creationId xmlns:a16="http://schemas.microsoft.com/office/drawing/2014/main" id="{00000000-0008-0000-0500-0000B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4</xdr:row>
          <xdr:rowOff>38100</xdr:rowOff>
        </xdr:from>
        <xdr:to>
          <xdr:col>12</xdr:col>
          <xdr:colOff>0</xdr:colOff>
          <xdr:row>4</xdr:row>
          <xdr:rowOff>361950</xdr:rowOff>
        </xdr:to>
        <xdr:sp macro="" textlink="">
          <xdr:nvSpPr>
            <xdr:cNvPr id="44470" name="Spinner 3510" hidden="1">
              <a:extLst>
                <a:ext uri="{63B3BB69-23CF-44E3-9099-C40C66FF867C}">
                  <a14:compatExt spid="_x0000_s44470"/>
                </a:ext>
                <a:ext uri="{FF2B5EF4-FFF2-40B4-BE49-F238E27FC236}">
                  <a16:creationId xmlns:a16="http://schemas.microsoft.com/office/drawing/2014/main" id="{00000000-0008-0000-0500-0000B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5</xdr:row>
          <xdr:rowOff>38100</xdr:rowOff>
        </xdr:from>
        <xdr:to>
          <xdr:col>12</xdr:col>
          <xdr:colOff>0</xdr:colOff>
          <xdr:row>5</xdr:row>
          <xdr:rowOff>361950</xdr:rowOff>
        </xdr:to>
        <xdr:sp macro="" textlink="">
          <xdr:nvSpPr>
            <xdr:cNvPr id="44471" name="Spinner 3511" hidden="1">
              <a:extLst>
                <a:ext uri="{63B3BB69-23CF-44E3-9099-C40C66FF867C}">
                  <a14:compatExt spid="_x0000_s44471"/>
                </a:ext>
                <a:ext uri="{FF2B5EF4-FFF2-40B4-BE49-F238E27FC236}">
                  <a16:creationId xmlns:a16="http://schemas.microsoft.com/office/drawing/2014/main" id="{00000000-0008-0000-0500-0000B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6</xdr:row>
          <xdr:rowOff>38100</xdr:rowOff>
        </xdr:from>
        <xdr:to>
          <xdr:col>12</xdr:col>
          <xdr:colOff>0</xdr:colOff>
          <xdr:row>6</xdr:row>
          <xdr:rowOff>361950</xdr:rowOff>
        </xdr:to>
        <xdr:sp macro="" textlink="">
          <xdr:nvSpPr>
            <xdr:cNvPr id="44472" name="Spinner 3512" hidden="1">
              <a:extLst>
                <a:ext uri="{63B3BB69-23CF-44E3-9099-C40C66FF867C}">
                  <a14:compatExt spid="_x0000_s44472"/>
                </a:ext>
                <a:ext uri="{FF2B5EF4-FFF2-40B4-BE49-F238E27FC236}">
                  <a16:creationId xmlns:a16="http://schemas.microsoft.com/office/drawing/2014/main" id="{00000000-0008-0000-0500-0000B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7</xdr:row>
          <xdr:rowOff>38100</xdr:rowOff>
        </xdr:from>
        <xdr:to>
          <xdr:col>12</xdr:col>
          <xdr:colOff>0</xdr:colOff>
          <xdr:row>7</xdr:row>
          <xdr:rowOff>361950</xdr:rowOff>
        </xdr:to>
        <xdr:sp macro="" textlink="">
          <xdr:nvSpPr>
            <xdr:cNvPr id="44473" name="Spinner 3513" hidden="1">
              <a:extLst>
                <a:ext uri="{63B3BB69-23CF-44E3-9099-C40C66FF867C}">
                  <a14:compatExt spid="_x0000_s44473"/>
                </a:ext>
                <a:ext uri="{FF2B5EF4-FFF2-40B4-BE49-F238E27FC236}">
                  <a16:creationId xmlns:a16="http://schemas.microsoft.com/office/drawing/2014/main" id="{00000000-0008-0000-0500-0000B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8</xdr:row>
          <xdr:rowOff>38100</xdr:rowOff>
        </xdr:from>
        <xdr:to>
          <xdr:col>12</xdr:col>
          <xdr:colOff>0</xdr:colOff>
          <xdr:row>8</xdr:row>
          <xdr:rowOff>361950</xdr:rowOff>
        </xdr:to>
        <xdr:sp macro="" textlink="">
          <xdr:nvSpPr>
            <xdr:cNvPr id="44474" name="Spinner 3514" hidden="1">
              <a:extLst>
                <a:ext uri="{63B3BB69-23CF-44E3-9099-C40C66FF867C}">
                  <a14:compatExt spid="_x0000_s44474"/>
                </a:ext>
                <a:ext uri="{FF2B5EF4-FFF2-40B4-BE49-F238E27FC236}">
                  <a16:creationId xmlns:a16="http://schemas.microsoft.com/office/drawing/2014/main" id="{00000000-0008-0000-0500-0000B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9</xdr:row>
          <xdr:rowOff>38100</xdr:rowOff>
        </xdr:from>
        <xdr:to>
          <xdr:col>12</xdr:col>
          <xdr:colOff>0</xdr:colOff>
          <xdr:row>9</xdr:row>
          <xdr:rowOff>361950</xdr:rowOff>
        </xdr:to>
        <xdr:sp macro="" textlink="">
          <xdr:nvSpPr>
            <xdr:cNvPr id="44475" name="Spinner 3515" hidden="1">
              <a:extLst>
                <a:ext uri="{63B3BB69-23CF-44E3-9099-C40C66FF867C}">
                  <a14:compatExt spid="_x0000_s44475"/>
                </a:ext>
                <a:ext uri="{FF2B5EF4-FFF2-40B4-BE49-F238E27FC236}">
                  <a16:creationId xmlns:a16="http://schemas.microsoft.com/office/drawing/2014/main" id="{00000000-0008-0000-0500-0000B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10</xdr:row>
          <xdr:rowOff>38100</xdr:rowOff>
        </xdr:from>
        <xdr:to>
          <xdr:col>12</xdr:col>
          <xdr:colOff>0</xdr:colOff>
          <xdr:row>10</xdr:row>
          <xdr:rowOff>361950</xdr:rowOff>
        </xdr:to>
        <xdr:sp macro="" textlink="">
          <xdr:nvSpPr>
            <xdr:cNvPr id="44476" name="Spinner 3516" hidden="1">
              <a:extLst>
                <a:ext uri="{63B3BB69-23CF-44E3-9099-C40C66FF867C}">
                  <a14:compatExt spid="_x0000_s44476"/>
                </a:ext>
                <a:ext uri="{FF2B5EF4-FFF2-40B4-BE49-F238E27FC236}">
                  <a16:creationId xmlns:a16="http://schemas.microsoft.com/office/drawing/2014/main" id="{00000000-0008-0000-0500-0000B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</xdr:row>
          <xdr:rowOff>38100</xdr:rowOff>
        </xdr:from>
        <xdr:to>
          <xdr:col>13</xdr:col>
          <xdr:colOff>0</xdr:colOff>
          <xdr:row>1</xdr:row>
          <xdr:rowOff>361950</xdr:rowOff>
        </xdr:to>
        <xdr:sp macro="" textlink="">
          <xdr:nvSpPr>
            <xdr:cNvPr id="44477" name="Spinner 3517" hidden="1">
              <a:extLst>
                <a:ext uri="{63B3BB69-23CF-44E3-9099-C40C66FF867C}">
                  <a14:compatExt spid="_x0000_s44477"/>
                </a:ext>
                <a:ext uri="{FF2B5EF4-FFF2-40B4-BE49-F238E27FC236}">
                  <a16:creationId xmlns:a16="http://schemas.microsoft.com/office/drawing/2014/main" id="{00000000-0008-0000-0500-0000B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2</xdr:row>
          <xdr:rowOff>38100</xdr:rowOff>
        </xdr:from>
        <xdr:to>
          <xdr:col>13</xdr:col>
          <xdr:colOff>0</xdr:colOff>
          <xdr:row>2</xdr:row>
          <xdr:rowOff>361950</xdr:rowOff>
        </xdr:to>
        <xdr:sp macro="" textlink="">
          <xdr:nvSpPr>
            <xdr:cNvPr id="44478" name="Spinner 3518" hidden="1">
              <a:extLst>
                <a:ext uri="{63B3BB69-23CF-44E3-9099-C40C66FF867C}">
                  <a14:compatExt spid="_x0000_s44478"/>
                </a:ext>
                <a:ext uri="{FF2B5EF4-FFF2-40B4-BE49-F238E27FC236}">
                  <a16:creationId xmlns:a16="http://schemas.microsoft.com/office/drawing/2014/main" id="{00000000-0008-0000-0500-0000B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3</xdr:row>
          <xdr:rowOff>38100</xdr:rowOff>
        </xdr:from>
        <xdr:to>
          <xdr:col>13</xdr:col>
          <xdr:colOff>0</xdr:colOff>
          <xdr:row>3</xdr:row>
          <xdr:rowOff>361950</xdr:rowOff>
        </xdr:to>
        <xdr:sp macro="" textlink="">
          <xdr:nvSpPr>
            <xdr:cNvPr id="44479" name="Spinner 3519" hidden="1">
              <a:extLst>
                <a:ext uri="{63B3BB69-23CF-44E3-9099-C40C66FF867C}">
                  <a14:compatExt spid="_x0000_s44479"/>
                </a:ext>
                <a:ext uri="{FF2B5EF4-FFF2-40B4-BE49-F238E27FC236}">
                  <a16:creationId xmlns:a16="http://schemas.microsoft.com/office/drawing/2014/main" id="{00000000-0008-0000-0500-0000B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4</xdr:row>
          <xdr:rowOff>38100</xdr:rowOff>
        </xdr:from>
        <xdr:to>
          <xdr:col>13</xdr:col>
          <xdr:colOff>0</xdr:colOff>
          <xdr:row>4</xdr:row>
          <xdr:rowOff>361950</xdr:rowOff>
        </xdr:to>
        <xdr:sp macro="" textlink="">
          <xdr:nvSpPr>
            <xdr:cNvPr id="44480" name="Spinner 3520" hidden="1">
              <a:extLst>
                <a:ext uri="{63B3BB69-23CF-44E3-9099-C40C66FF867C}">
                  <a14:compatExt spid="_x0000_s44480"/>
                </a:ext>
                <a:ext uri="{FF2B5EF4-FFF2-40B4-BE49-F238E27FC236}">
                  <a16:creationId xmlns:a16="http://schemas.microsoft.com/office/drawing/2014/main" id="{00000000-0008-0000-0500-0000C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5</xdr:row>
          <xdr:rowOff>38100</xdr:rowOff>
        </xdr:from>
        <xdr:to>
          <xdr:col>13</xdr:col>
          <xdr:colOff>0</xdr:colOff>
          <xdr:row>5</xdr:row>
          <xdr:rowOff>361950</xdr:rowOff>
        </xdr:to>
        <xdr:sp macro="" textlink="">
          <xdr:nvSpPr>
            <xdr:cNvPr id="44481" name="Spinner 3521" hidden="1">
              <a:extLst>
                <a:ext uri="{63B3BB69-23CF-44E3-9099-C40C66FF867C}">
                  <a14:compatExt spid="_x0000_s44481"/>
                </a:ext>
                <a:ext uri="{FF2B5EF4-FFF2-40B4-BE49-F238E27FC236}">
                  <a16:creationId xmlns:a16="http://schemas.microsoft.com/office/drawing/2014/main" id="{00000000-0008-0000-0500-0000C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6</xdr:row>
          <xdr:rowOff>38100</xdr:rowOff>
        </xdr:from>
        <xdr:to>
          <xdr:col>13</xdr:col>
          <xdr:colOff>0</xdr:colOff>
          <xdr:row>6</xdr:row>
          <xdr:rowOff>361950</xdr:rowOff>
        </xdr:to>
        <xdr:sp macro="" textlink="">
          <xdr:nvSpPr>
            <xdr:cNvPr id="44482" name="Spinner 3522" hidden="1">
              <a:extLst>
                <a:ext uri="{63B3BB69-23CF-44E3-9099-C40C66FF867C}">
                  <a14:compatExt spid="_x0000_s44482"/>
                </a:ext>
                <a:ext uri="{FF2B5EF4-FFF2-40B4-BE49-F238E27FC236}">
                  <a16:creationId xmlns:a16="http://schemas.microsoft.com/office/drawing/2014/main" id="{00000000-0008-0000-0500-0000C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7</xdr:row>
          <xdr:rowOff>38100</xdr:rowOff>
        </xdr:from>
        <xdr:to>
          <xdr:col>13</xdr:col>
          <xdr:colOff>0</xdr:colOff>
          <xdr:row>7</xdr:row>
          <xdr:rowOff>361950</xdr:rowOff>
        </xdr:to>
        <xdr:sp macro="" textlink="">
          <xdr:nvSpPr>
            <xdr:cNvPr id="44483" name="Spinner 3523" hidden="1">
              <a:extLst>
                <a:ext uri="{63B3BB69-23CF-44E3-9099-C40C66FF867C}">
                  <a14:compatExt spid="_x0000_s44483"/>
                </a:ext>
                <a:ext uri="{FF2B5EF4-FFF2-40B4-BE49-F238E27FC236}">
                  <a16:creationId xmlns:a16="http://schemas.microsoft.com/office/drawing/2014/main" id="{00000000-0008-0000-0500-0000C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8</xdr:row>
          <xdr:rowOff>38100</xdr:rowOff>
        </xdr:from>
        <xdr:to>
          <xdr:col>13</xdr:col>
          <xdr:colOff>0</xdr:colOff>
          <xdr:row>8</xdr:row>
          <xdr:rowOff>361950</xdr:rowOff>
        </xdr:to>
        <xdr:sp macro="" textlink="">
          <xdr:nvSpPr>
            <xdr:cNvPr id="44484" name="Spinner 3524" hidden="1">
              <a:extLst>
                <a:ext uri="{63B3BB69-23CF-44E3-9099-C40C66FF867C}">
                  <a14:compatExt spid="_x0000_s44484"/>
                </a:ext>
                <a:ext uri="{FF2B5EF4-FFF2-40B4-BE49-F238E27FC236}">
                  <a16:creationId xmlns:a16="http://schemas.microsoft.com/office/drawing/2014/main" id="{00000000-0008-0000-0500-0000C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9</xdr:row>
          <xdr:rowOff>38100</xdr:rowOff>
        </xdr:from>
        <xdr:to>
          <xdr:col>13</xdr:col>
          <xdr:colOff>0</xdr:colOff>
          <xdr:row>9</xdr:row>
          <xdr:rowOff>361950</xdr:rowOff>
        </xdr:to>
        <xdr:sp macro="" textlink="">
          <xdr:nvSpPr>
            <xdr:cNvPr id="44485" name="Spinner 3525" hidden="1">
              <a:extLst>
                <a:ext uri="{63B3BB69-23CF-44E3-9099-C40C66FF867C}">
                  <a14:compatExt spid="_x0000_s44485"/>
                </a:ext>
                <a:ext uri="{FF2B5EF4-FFF2-40B4-BE49-F238E27FC236}">
                  <a16:creationId xmlns:a16="http://schemas.microsoft.com/office/drawing/2014/main" id="{00000000-0008-0000-0500-0000C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10</xdr:row>
          <xdr:rowOff>38100</xdr:rowOff>
        </xdr:from>
        <xdr:to>
          <xdr:col>13</xdr:col>
          <xdr:colOff>0</xdr:colOff>
          <xdr:row>10</xdr:row>
          <xdr:rowOff>361950</xdr:rowOff>
        </xdr:to>
        <xdr:sp macro="" textlink="">
          <xdr:nvSpPr>
            <xdr:cNvPr id="44486" name="Spinner 3526" hidden="1">
              <a:extLst>
                <a:ext uri="{63B3BB69-23CF-44E3-9099-C40C66FF867C}">
                  <a14:compatExt spid="_x0000_s44486"/>
                </a:ext>
                <a:ext uri="{FF2B5EF4-FFF2-40B4-BE49-F238E27FC236}">
                  <a16:creationId xmlns:a16="http://schemas.microsoft.com/office/drawing/2014/main" id="{00000000-0008-0000-0500-0000C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F71-A5D4-4D4D-8228-40AFE1D0B416}">
  <sheetPr codeName="Sheet2"/>
  <dimension ref="A1:B16"/>
  <sheetViews>
    <sheetView zoomScale="140" zoomScaleNormal="140" workbookViewId="0">
      <selection activeCell="B8" sqref="B8"/>
    </sheetView>
  </sheetViews>
  <sheetFormatPr defaultRowHeight="14.5" x14ac:dyDescent="0.35"/>
  <cols>
    <col min="1" max="1" width="8.7265625" style="1"/>
    <col min="2" max="2" width="12.453125" style="1" customWidth="1"/>
  </cols>
  <sheetData>
    <row r="1" spans="1:2" x14ac:dyDescent="0.35">
      <c r="A1" s="2" t="s">
        <v>0</v>
      </c>
      <c r="B1" s="2" t="s">
        <v>1</v>
      </c>
    </row>
    <row r="2" spans="1:2" x14ac:dyDescent="0.35">
      <c r="A2" s="1">
        <v>1</v>
      </c>
      <c r="B2" s="1" t="s">
        <v>5</v>
      </c>
    </row>
    <row r="3" spans="1:2" x14ac:dyDescent="0.35">
      <c r="A3" s="1">
        <v>2</v>
      </c>
      <c r="B3" s="1" t="s">
        <v>6</v>
      </c>
    </row>
    <row r="4" spans="1:2" x14ac:dyDescent="0.35">
      <c r="A4" s="1">
        <v>3</v>
      </c>
      <c r="B4" s="1" t="s">
        <v>7</v>
      </c>
    </row>
    <row r="5" spans="1:2" x14ac:dyDescent="0.35">
      <c r="A5" s="1">
        <v>4</v>
      </c>
      <c r="B5" s="1" t="s">
        <v>8</v>
      </c>
    </row>
    <row r="6" spans="1:2" x14ac:dyDescent="0.35">
      <c r="A6" s="1">
        <v>5</v>
      </c>
      <c r="B6" s="1" t="s">
        <v>9</v>
      </c>
    </row>
    <row r="7" spans="1:2" x14ac:dyDescent="0.35">
      <c r="A7" s="1">
        <v>6</v>
      </c>
      <c r="B7" s="1" t="s">
        <v>10</v>
      </c>
    </row>
    <row r="8" spans="1:2" x14ac:dyDescent="0.35">
      <c r="A8" s="1">
        <v>7</v>
      </c>
      <c r="B8" s="1" t="s">
        <v>21</v>
      </c>
    </row>
    <row r="9" spans="1:2" x14ac:dyDescent="0.35">
      <c r="A9" s="1">
        <v>8</v>
      </c>
      <c r="B9" s="1" t="s">
        <v>11</v>
      </c>
    </row>
    <row r="10" spans="1:2" x14ac:dyDescent="0.35">
      <c r="A10" s="1">
        <v>9</v>
      </c>
      <c r="B10" s="1" t="s">
        <v>12</v>
      </c>
    </row>
    <row r="11" spans="1:2" x14ac:dyDescent="0.35">
      <c r="A11" s="1">
        <v>10</v>
      </c>
      <c r="B11" s="1" t="s">
        <v>13</v>
      </c>
    </row>
    <row r="12" spans="1:2" x14ac:dyDescent="0.35">
      <c r="A12" s="1">
        <v>11</v>
      </c>
    </row>
    <row r="13" spans="1:2" x14ac:dyDescent="0.35">
      <c r="A13" s="1">
        <v>12</v>
      </c>
    </row>
    <row r="14" spans="1:2" x14ac:dyDescent="0.35">
      <c r="A14" s="1">
        <v>13</v>
      </c>
    </row>
    <row r="15" spans="1:2" x14ac:dyDescent="0.35">
      <c r="A15" s="1">
        <v>14</v>
      </c>
    </row>
    <row r="16" spans="1:2" x14ac:dyDescent="0.35">
      <c r="A16" s="1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C5138-3BD7-4409-8A20-193E346262C4}">
  <sheetPr codeName="Sheet17"/>
  <dimension ref="A1:K16"/>
  <sheetViews>
    <sheetView workbookViewId="0"/>
  </sheetViews>
  <sheetFormatPr defaultRowHeight="14.5" x14ac:dyDescent="0.35"/>
  <cols>
    <col min="1" max="1" width="9.1796875" style="1"/>
    <col min="2" max="2" width="15.54296875" style="1" bestFit="1" customWidth="1"/>
    <col min="3" max="3" width="8.54296875" style="6" bestFit="1" customWidth="1"/>
    <col min="4" max="4" width="10.453125" style="1" bestFit="1" customWidth="1"/>
    <col min="5" max="7" width="10.26953125" style="31" bestFit="1" customWidth="1"/>
    <col min="8" max="11" width="8.7265625" style="8"/>
  </cols>
  <sheetData>
    <row r="1" spans="1:11" x14ac:dyDescent="0.35">
      <c r="A1" s="2" t="s">
        <v>0</v>
      </c>
      <c r="B1" s="2" t="s">
        <v>1</v>
      </c>
      <c r="C1" s="2" t="s">
        <v>20</v>
      </c>
      <c r="D1" s="4">
        <f ca="1">TODAY()</f>
        <v>45693</v>
      </c>
      <c r="E1" s="37">
        <v>45749</v>
      </c>
      <c r="F1" s="37">
        <v>45690</v>
      </c>
      <c r="G1" s="37">
        <v>45659</v>
      </c>
      <c r="H1" s="7"/>
      <c r="I1" s="7"/>
      <c r="J1" s="7"/>
      <c r="K1" s="7"/>
    </row>
    <row r="2" spans="1:11" x14ac:dyDescent="0.3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5">
        <f ca="1">IFERROR(IF(B2 &lt;&gt; "**Unoccupied**", SUM(INDIRECT(ADDRESS(ROW(), COLUMN() + 1)):INDEX(2:2,COUNTA($1:$1) + 1)), "-"), 0)</f>
        <v>500</v>
      </c>
      <c r="D2" s="3">
        <f ca="1">IF(B2 &lt;&gt; "**Unoccupied**", 'Today_02-02-25'!N2, "-")</f>
        <v>125</v>
      </c>
      <c r="E2" s="30">
        <v>125</v>
      </c>
      <c r="F2" s="30">
        <v>125</v>
      </c>
      <c r="G2" s="30">
        <v>125</v>
      </c>
    </row>
    <row r="3" spans="1:11" x14ac:dyDescent="0.3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5">
        <f ca="1">IFERROR(IF(B3 &lt;&gt; "**Unoccupied**", SUM(INDIRECT(ADDRESS(ROW(), COLUMN() + 1)):INDEX(3:3,COUNTA($1:$1) + 1)), "-"), 0)</f>
        <v>660</v>
      </c>
      <c r="D3" s="3">
        <f ca="1">IF(B3 &lt;&gt; "**Unoccupied**", 'Today_02-02-25'!N3, "-")</f>
        <v>125</v>
      </c>
      <c r="E3" s="30">
        <v>285</v>
      </c>
      <c r="F3" s="30">
        <v>125</v>
      </c>
      <c r="G3" s="30">
        <v>125</v>
      </c>
    </row>
    <row r="4" spans="1:11" x14ac:dyDescent="0.3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5">
        <f ca="1">IFERROR(IF(B4 &lt;&gt; "**Unoccupied**", SUM(INDIRECT(ADDRESS(ROW(), COLUMN() + 1)):INDEX(4:4,COUNTA($1:$1) + 1)), "-"), 0)</f>
        <v>500</v>
      </c>
      <c r="D4" s="3">
        <f ca="1">IF(B4 &lt;&gt; "**Unoccupied**", 'Today_02-02-25'!N4, "-")</f>
        <v>125</v>
      </c>
      <c r="E4" s="30">
        <v>125</v>
      </c>
      <c r="F4" s="30">
        <v>125</v>
      </c>
      <c r="G4" s="30">
        <v>125</v>
      </c>
    </row>
    <row r="5" spans="1:11" x14ac:dyDescent="0.3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5">
        <f ca="1">IFERROR(IF(B5 &lt;&gt; "**Unoccupied**", SUM(INDIRECT(ADDRESS(ROW(), COLUMN() + 1)):INDEX(5:5,COUNTA($1:$1) + 1)), "-"), 0)</f>
        <v>500</v>
      </c>
      <c r="D5" s="3">
        <f ca="1">IF(B5 &lt;&gt; "**Unoccupied**", 'Today_02-02-25'!N5, "-")</f>
        <v>125</v>
      </c>
      <c r="E5" s="30">
        <v>125</v>
      </c>
      <c r="F5" s="30">
        <v>125</v>
      </c>
      <c r="G5" s="30">
        <v>125</v>
      </c>
    </row>
    <row r="6" spans="1:11" x14ac:dyDescent="0.3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5">
        <f ca="1">IFERROR(IF(B6 &lt;&gt; "**Unoccupied**", SUM(INDIRECT(ADDRESS(ROW(), COLUMN() + 1)):INDEX(6:6,COUNTA($1:$1) + 1)), "-"), 0)</f>
        <v>540</v>
      </c>
      <c r="D6" s="3">
        <f ca="1">IF(B6 &lt;&gt; "**Unoccupied**", 'Today_02-02-25'!N6, "-")</f>
        <v>75</v>
      </c>
      <c r="E6" s="30">
        <v>75</v>
      </c>
      <c r="F6" s="30">
        <v>125</v>
      </c>
      <c r="G6" s="30">
        <v>265</v>
      </c>
    </row>
    <row r="7" spans="1:11" x14ac:dyDescent="0.3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5">
        <f ca="1">IFERROR(IF(B7 &lt;&gt; "**Unoccupied**", SUM(INDIRECT(ADDRESS(ROW(), COLUMN() + 1)):INDEX(7:7,COUNTA($1:$1) + 1)), "-"), 0)</f>
        <v>500</v>
      </c>
      <c r="D7" s="3">
        <f ca="1">IF(B7 &lt;&gt; "**Unoccupied**", 'Today_02-02-25'!N7, "-")</f>
        <v>125</v>
      </c>
      <c r="E7" s="30">
        <v>125</v>
      </c>
      <c r="F7" s="30">
        <v>125</v>
      </c>
      <c r="G7" s="30">
        <v>125</v>
      </c>
    </row>
    <row r="8" spans="1:11" x14ac:dyDescent="0.3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5">
        <f ca="1">IFERROR(IF(B8 &lt;&gt; "**Unoccupied**", SUM(INDIRECT(ADDRESS(ROW(), COLUMN() + 1)):INDEX(8:8,COUNTA($1:$1) + 1)), "-"), 0)</f>
        <v>230</v>
      </c>
      <c r="D8" s="3">
        <f ca="1">IF(B8 &lt;&gt; "**Unoccupied**", 'Today_02-02-25'!N8, "-")</f>
        <v>0</v>
      </c>
      <c r="E8" s="30">
        <v>0</v>
      </c>
      <c r="F8" s="30">
        <v>105</v>
      </c>
      <c r="G8" s="30">
        <v>125</v>
      </c>
    </row>
    <row r="9" spans="1:11" x14ac:dyDescent="0.3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5">
        <f ca="1">IFERROR(IF(B9 &lt;&gt; "**Unoccupied**", SUM(INDIRECT(ADDRESS(ROW(), COLUMN() + 1)):INDEX(9:9,COUNTA($1:$1) + 1)), "-"), 0)</f>
        <v>500</v>
      </c>
      <c r="D9" s="3">
        <f ca="1">IF(B9 &lt;&gt; "**Unoccupied**", 'Today_02-02-25'!N9, "-")</f>
        <v>125</v>
      </c>
      <c r="E9" s="30">
        <v>125</v>
      </c>
      <c r="F9" s="30">
        <v>125</v>
      </c>
      <c r="G9" s="30">
        <v>125</v>
      </c>
    </row>
    <row r="10" spans="1:11" x14ac:dyDescent="0.3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5">
        <f ca="1">IFERROR(IF(B10 &lt;&gt; "**Unoccupied**", SUM(INDIRECT(ADDRESS(ROW(), COLUMN() + 1)):INDEX(10:10,COUNTA($1:$1) + 1)), "-"), 0)</f>
        <v>500</v>
      </c>
      <c r="D10" s="3">
        <f ca="1">IF(B10 &lt;&gt; "**Unoccupied**", 'Today_02-02-25'!N10, "-")</f>
        <v>125</v>
      </c>
      <c r="E10" s="30">
        <v>125</v>
      </c>
      <c r="F10" s="30">
        <v>125</v>
      </c>
      <c r="G10" s="30">
        <v>125</v>
      </c>
    </row>
    <row r="11" spans="1:11" x14ac:dyDescent="0.3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5">
        <f ca="1">IFERROR(IF(B11 &lt;&gt; "**Unoccupied**", SUM(INDIRECT(ADDRESS(ROW(), COLUMN() + 1)):INDEX(11:11,COUNTA($1:$1) + 1)), "-"), 0)</f>
        <v>500</v>
      </c>
      <c r="D11" s="3">
        <f ca="1">IF(B11 &lt;&gt; "**Unoccupied**", 'Today_02-02-25'!N11, "-")</f>
        <v>125</v>
      </c>
      <c r="E11" s="30">
        <v>125</v>
      </c>
      <c r="F11" s="30">
        <v>125</v>
      </c>
      <c r="G11" s="30">
        <v>125</v>
      </c>
    </row>
    <row r="12" spans="1:11" x14ac:dyDescent="0.3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IFERROR(IF(B12 &lt;&gt; "**Unoccupied**", SUM(INDIRECT(ADDRESS(ROW(), COLUMN() + 1)):INDEX(12:12,COUNTA($1:$1) + 1)), "-"), 0)</f>
        <v>-</v>
      </c>
      <c r="D12" s="3" t="str">
        <f ca="1">IF(B12 &lt;&gt; "**Unoccupied**", 'Today_02-02-25'!N12, "-")</f>
        <v>-</v>
      </c>
      <c r="E12" s="30" t="s">
        <v>35</v>
      </c>
      <c r="F12" s="30" t="s">
        <v>35</v>
      </c>
      <c r="G12" s="30" t="s">
        <v>35</v>
      </c>
    </row>
    <row r="13" spans="1:11" x14ac:dyDescent="0.3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IFERROR(IF(B13 &lt;&gt; "**Unoccupied**", SUM(INDIRECT(ADDRESS(ROW(), COLUMN() + 1)):INDEX(13:13,COUNTA($1:$1) + 1)), "-"), 0)</f>
        <v>-</v>
      </c>
      <c r="D13" s="3" t="str">
        <f ca="1">IF(B13 &lt;&gt; "**Unoccupied**", 'Today_02-02-25'!N13, "-")</f>
        <v>-</v>
      </c>
      <c r="E13" s="30" t="s">
        <v>35</v>
      </c>
      <c r="F13" s="30" t="s">
        <v>35</v>
      </c>
      <c r="G13" s="30" t="s">
        <v>35</v>
      </c>
    </row>
    <row r="14" spans="1:11" x14ac:dyDescent="0.3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IFERROR(IF(B14 &lt;&gt; "**Unoccupied**", SUM(INDIRECT(ADDRESS(ROW(), COLUMN() + 1)):INDEX(14:14,COUNTA($1:$1) + 1)), "-"), 0)</f>
        <v>-</v>
      </c>
      <c r="D14" s="3" t="str">
        <f ca="1">IF(B14 &lt;&gt; "**Unoccupied**", 'Today_02-02-25'!N14, "-")</f>
        <v>-</v>
      </c>
      <c r="E14" s="30"/>
      <c r="F14" s="30"/>
      <c r="G14" s="30"/>
    </row>
    <row r="15" spans="1:11" x14ac:dyDescent="0.3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IFERROR(IF(B15 &lt;&gt; "**Unoccupied**", SUM(INDIRECT(ADDRESS(ROW(), COLUMN() + 1)):INDEX(15:15,COUNTA($1:$1) + 1)), "-"), 0)</f>
        <v>-</v>
      </c>
      <c r="D15" s="3" t="str">
        <f ca="1">IF(B15 &lt;&gt; "**Unoccupied**", 'Today_02-02-25'!N15, "-")</f>
        <v>-</v>
      </c>
      <c r="E15" s="30"/>
      <c r="F15" s="30"/>
      <c r="G15" s="30"/>
    </row>
    <row r="16" spans="1:11" x14ac:dyDescent="0.3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IFERROR(IF(B16 &lt;&gt; "**Unoccupied**", SUM(INDIRECT(ADDRESS(ROW(), COLUMN() + 1)):INDEX(16:16,COUNTA($1:$1) + 1)), "-"), 0)</f>
        <v>-</v>
      </c>
      <c r="D16" s="3" t="str">
        <f ca="1">IF(B16 &lt;&gt; "**Unoccupied**", 'Today_02-02-25'!N16, "-")</f>
        <v>-</v>
      </c>
      <c r="E16" s="30"/>
      <c r="F16" s="30"/>
      <c r="G16" s="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1168C-FA2E-423E-A0E7-98984B828E54}">
  <sheetPr codeName="Sheet16"/>
  <dimension ref="A1:D16"/>
  <sheetViews>
    <sheetView workbookViewId="0">
      <selection activeCell="C8" sqref="C8"/>
    </sheetView>
  </sheetViews>
  <sheetFormatPr defaultRowHeight="14.5" x14ac:dyDescent="0.35"/>
  <cols>
    <col min="1" max="1" width="9.1796875" style="1"/>
    <col min="2" max="2" width="15.54296875" style="1" bestFit="1" customWidth="1"/>
    <col min="3" max="3" width="8.54296875" style="6" bestFit="1" customWidth="1"/>
    <col min="4" max="4" width="11.26953125" style="7" bestFit="1" customWidth="1"/>
  </cols>
  <sheetData>
    <row r="1" spans="1:4" x14ac:dyDescent="0.35">
      <c r="A1" s="2" t="s">
        <v>0</v>
      </c>
      <c r="B1" s="2" t="s">
        <v>1</v>
      </c>
      <c r="C1" s="2" t="s">
        <v>20</v>
      </c>
      <c r="D1" s="2" t="s">
        <v>19</v>
      </c>
    </row>
    <row r="2" spans="1:4" x14ac:dyDescent="0.3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6">
        <f ca="1">'BoarderDateWise-Sales'!C2</f>
        <v>500</v>
      </c>
      <c r="D2" s="6">
        <f ca="1">SUM($C:$C)</f>
        <v>4930</v>
      </c>
    </row>
    <row r="3" spans="1:4" x14ac:dyDescent="0.3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6">
        <f ca="1">'BoarderDateWise-Sales'!C3</f>
        <v>660</v>
      </c>
    </row>
    <row r="4" spans="1:4" x14ac:dyDescent="0.3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6">
        <f ca="1">'BoarderDateWise-Sales'!C4</f>
        <v>500</v>
      </c>
    </row>
    <row r="5" spans="1:4" x14ac:dyDescent="0.3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6">
        <f ca="1">'BoarderDateWise-Sales'!C5</f>
        <v>500</v>
      </c>
    </row>
    <row r="6" spans="1:4" x14ac:dyDescent="0.3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6">
        <f ca="1">'BoarderDateWise-Sales'!C6</f>
        <v>540</v>
      </c>
    </row>
    <row r="7" spans="1:4" x14ac:dyDescent="0.3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6">
        <f ca="1">'BoarderDateWise-Sales'!C7</f>
        <v>500</v>
      </c>
    </row>
    <row r="8" spans="1:4" x14ac:dyDescent="0.3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6">
        <f ca="1">'BoarderDateWise-Sales'!C8</f>
        <v>230</v>
      </c>
    </row>
    <row r="9" spans="1:4" x14ac:dyDescent="0.3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6">
        <f ca="1">'BoarderDateWise-Sales'!C9</f>
        <v>500</v>
      </c>
    </row>
    <row r="10" spans="1:4" x14ac:dyDescent="0.3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6">
        <f ca="1">'BoarderDateWise-Sales'!C10</f>
        <v>500</v>
      </c>
    </row>
    <row r="11" spans="1:4" x14ac:dyDescent="0.3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6">
        <f ca="1">'BoarderDateWise-Sales'!C11</f>
        <v>500</v>
      </c>
    </row>
    <row r="12" spans="1:4" x14ac:dyDescent="0.3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'BoarderDateWise-Sales'!C12</f>
        <v>-</v>
      </c>
    </row>
    <row r="13" spans="1:4" x14ac:dyDescent="0.3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'BoarderDateWise-Sales'!C13</f>
        <v>-</v>
      </c>
    </row>
    <row r="14" spans="1:4" x14ac:dyDescent="0.3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'BoarderDateWise-Sales'!C14</f>
        <v>-</v>
      </c>
    </row>
    <row r="15" spans="1:4" x14ac:dyDescent="0.3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'BoarderDateWise-Sales'!C15</f>
        <v>-</v>
      </c>
    </row>
    <row r="16" spans="1:4" x14ac:dyDescent="0.3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'BoarderDateWise-Sales'!C16</f>
        <v>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3629-E8D5-40D8-AE40-3EE7057247EA}">
  <sheetPr codeName="Sheet4"/>
  <dimension ref="A1:U32"/>
  <sheetViews>
    <sheetView workbookViewId="0">
      <selection activeCell="F3" sqref="F3"/>
    </sheetView>
  </sheetViews>
  <sheetFormatPr defaultRowHeight="14.5" x14ac:dyDescent="0.35"/>
  <cols>
    <col min="1" max="1" width="9.7265625" style="34" bestFit="1" customWidth="1"/>
    <col min="2" max="4" width="11.54296875" style="36" customWidth="1"/>
    <col min="5" max="7" width="9.1796875" style="33"/>
    <col min="8" max="10" width="11.54296875" style="36" customWidth="1"/>
    <col min="11" max="13" width="9.1796875" style="33"/>
    <col min="19" max="21" width="9.1796875" style="38"/>
  </cols>
  <sheetData>
    <row r="1" spans="1:21" x14ac:dyDescent="0.35">
      <c r="A1" s="43" t="s">
        <v>38</v>
      </c>
      <c r="B1" s="42" t="s">
        <v>37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S1" s="35" t="s">
        <v>42</v>
      </c>
      <c r="T1" s="35" t="s">
        <v>40</v>
      </c>
      <c r="U1" s="35" t="s">
        <v>41</v>
      </c>
    </row>
    <row r="2" spans="1:21" x14ac:dyDescent="0.35">
      <c r="A2" s="44"/>
      <c r="B2" s="35" t="s">
        <v>39</v>
      </c>
      <c r="C2" s="35" t="s">
        <v>40</v>
      </c>
      <c r="D2" s="35" t="s">
        <v>41</v>
      </c>
      <c r="E2" s="32" t="s">
        <v>2</v>
      </c>
      <c r="F2" s="32" t="s">
        <v>3</v>
      </c>
      <c r="G2" s="32" t="s">
        <v>4</v>
      </c>
      <c r="H2" s="35" t="s">
        <v>39</v>
      </c>
      <c r="I2" s="35" t="s">
        <v>40</v>
      </c>
      <c r="J2" s="35" t="s">
        <v>41</v>
      </c>
      <c r="K2" s="32" t="s">
        <v>2</v>
      </c>
      <c r="L2" s="32" t="s">
        <v>3</v>
      </c>
      <c r="M2" s="32" t="s">
        <v>4</v>
      </c>
      <c r="S2" s="38">
        <v>1</v>
      </c>
      <c r="T2" s="38">
        <v>1</v>
      </c>
      <c r="U2" s="38">
        <v>2025</v>
      </c>
    </row>
    <row r="3" spans="1:21" x14ac:dyDescent="0.35">
      <c r="A3" s="34">
        <v>1</v>
      </c>
      <c r="B3" s="36">
        <v>2</v>
      </c>
      <c r="C3" s="36">
        <v>2</v>
      </c>
      <c r="D3" s="36">
        <v>2025</v>
      </c>
      <c r="E3" s="33" t="s">
        <v>32</v>
      </c>
      <c r="F3" s="33" t="s">
        <v>32</v>
      </c>
      <c r="G3" s="33" t="s">
        <v>32</v>
      </c>
      <c r="S3" s="38">
        <v>2</v>
      </c>
      <c r="T3" s="38">
        <v>2</v>
      </c>
    </row>
    <row r="4" spans="1:21" x14ac:dyDescent="0.35">
      <c r="S4" s="38">
        <v>3</v>
      </c>
      <c r="T4" s="38">
        <v>3</v>
      </c>
    </row>
    <row r="5" spans="1:21" x14ac:dyDescent="0.35">
      <c r="S5" s="38">
        <v>4</v>
      </c>
      <c r="T5" s="38">
        <v>4</v>
      </c>
    </row>
    <row r="6" spans="1:21" x14ac:dyDescent="0.35">
      <c r="S6" s="38">
        <v>5</v>
      </c>
      <c r="T6" s="38">
        <v>5</v>
      </c>
    </row>
    <row r="7" spans="1:21" x14ac:dyDescent="0.35">
      <c r="S7" s="38">
        <v>6</v>
      </c>
      <c r="T7" s="38">
        <v>6</v>
      </c>
    </row>
    <row r="8" spans="1:21" x14ac:dyDescent="0.35">
      <c r="S8" s="38">
        <v>7</v>
      </c>
      <c r="T8" s="38">
        <v>7</v>
      </c>
    </row>
    <row r="9" spans="1:21" x14ac:dyDescent="0.35">
      <c r="S9" s="38">
        <v>8</v>
      </c>
      <c r="T9" s="38">
        <v>8</v>
      </c>
    </row>
    <row r="10" spans="1:21" x14ac:dyDescent="0.35">
      <c r="S10" s="38">
        <v>9</v>
      </c>
      <c r="T10" s="38">
        <v>9</v>
      </c>
    </row>
    <row r="11" spans="1:21" x14ac:dyDescent="0.35">
      <c r="S11" s="38">
        <v>10</v>
      </c>
      <c r="T11" s="38">
        <v>10</v>
      </c>
    </row>
    <row r="12" spans="1:21" x14ac:dyDescent="0.35">
      <c r="S12" s="38">
        <v>11</v>
      </c>
      <c r="T12" s="38">
        <v>11</v>
      </c>
    </row>
    <row r="13" spans="1:21" x14ac:dyDescent="0.35">
      <c r="S13" s="38">
        <v>12</v>
      </c>
      <c r="T13" s="38">
        <v>12</v>
      </c>
    </row>
    <row r="14" spans="1:21" x14ac:dyDescent="0.35">
      <c r="S14" s="38">
        <v>13</v>
      </c>
    </row>
    <row r="15" spans="1:21" x14ac:dyDescent="0.35">
      <c r="S15" s="38">
        <v>14</v>
      </c>
    </row>
    <row r="16" spans="1:21" x14ac:dyDescent="0.35">
      <c r="S16" s="38">
        <v>15</v>
      </c>
    </row>
    <row r="17" spans="19:19" x14ac:dyDescent="0.35">
      <c r="S17" s="38">
        <v>16</v>
      </c>
    </row>
    <row r="18" spans="19:19" x14ac:dyDescent="0.35">
      <c r="S18" s="38">
        <v>17</v>
      </c>
    </row>
    <row r="19" spans="19:19" x14ac:dyDescent="0.35">
      <c r="S19" s="38">
        <v>18</v>
      </c>
    </row>
    <row r="20" spans="19:19" x14ac:dyDescent="0.35">
      <c r="S20" s="38">
        <v>19</v>
      </c>
    </row>
    <row r="21" spans="19:19" x14ac:dyDescent="0.35">
      <c r="S21" s="38">
        <v>20</v>
      </c>
    </row>
    <row r="22" spans="19:19" x14ac:dyDescent="0.35">
      <c r="S22" s="38">
        <v>21</v>
      </c>
    </row>
    <row r="23" spans="19:19" x14ac:dyDescent="0.35">
      <c r="S23" s="38">
        <v>22</v>
      </c>
    </row>
    <row r="24" spans="19:19" x14ac:dyDescent="0.35">
      <c r="S24" s="38">
        <v>23</v>
      </c>
    </row>
    <row r="25" spans="19:19" x14ac:dyDescent="0.35">
      <c r="S25" s="38">
        <v>24</v>
      </c>
    </row>
    <row r="26" spans="19:19" x14ac:dyDescent="0.35">
      <c r="S26" s="38">
        <v>25</v>
      </c>
    </row>
    <row r="27" spans="19:19" x14ac:dyDescent="0.35">
      <c r="S27" s="38">
        <v>26</v>
      </c>
    </row>
    <row r="28" spans="19:19" x14ac:dyDescent="0.35">
      <c r="S28" s="38">
        <v>27</v>
      </c>
    </row>
    <row r="29" spans="19:19" x14ac:dyDescent="0.35">
      <c r="S29" s="38">
        <v>28</v>
      </c>
    </row>
    <row r="30" spans="19:19" x14ac:dyDescent="0.35">
      <c r="S30" s="38">
        <v>29</v>
      </c>
    </row>
    <row r="31" spans="19:19" x14ac:dyDescent="0.35">
      <c r="S31" s="38">
        <v>30</v>
      </c>
    </row>
    <row r="32" spans="19:19" x14ac:dyDescent="0.35">
      <c r="S32" s="38">
        <v>31</v>
      </c>
    </row>
  </sheetData>
  <mergeCells count="3">
    <mergeCell ref="B1:G1"/>
    <mergeCell ref="H1:M1"/>
    <mergeCell ref="A1:A2"/>
  </mergeCells>
  <phoneticPr fontId="3" type="noConversion"/>
  <conditionalFormatting sqref="E1:G2 K1:M1048576 E5:G1048576">
    <cfRule type="cellIs" dxfId="14" priority="4" operator="equal">
      <formula>"✓"</formula>
    </cfRule>
  </conditionalFormatting>
  <conditionalFormatting sqref="E3:G3">
    <cfRule type="cellIs" dxfId="13" priority="2" operator="equal">
      <formula>"✓"</formula>
    </cfRule>
  </conditionalFormatting>
  <conditionalFormatting sqref="E4:G4">
    <cfRule type="cellIs" dxfId="12" priority="1" operator="equal">
      <formula>"✓"</formula>
    </cfRule>
  </conditionalFormatting>
  <dataValidations count="3">
    <dataValidation type="list" allowBlank="1" showInputMessage="1" showErrorMessage="1" sqref="I3 C3:C4" xr:uid="{C5DB39DB-7EA2-4952-8601-1406A6A46443}">
      <formula1>$T$2:$T$13</formula1>
    </dataValidation>
    <dataValidation type="list" allowBlank="1" showInputMessage="1" showErrorMessage="1" sqref="H3 B3:B4" xr:uid="{362D4E13-E519-452A-8CE1-4E3D30A29A3F}">
      <formula1>$S$2:$S$32</formula1>
    </dataValidation>
    <dataValidation type="list" allowBlank="1" showInputMessage="1" showErrorMessage="1" sqref="J3 D3:D4" xr:uid="{3EA8235A-2A3B-424D-A4BF-F90644453B59}">
      <formula1>$U$2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7BCB87-B3AA-4ABF-AF4A-B0CB0F7491E5}">
          <x14:formula1>
            <xm:f>'Today_02-02-25'!$V$2:$V$3</xm:f>
          </x14:formula1>
          <xm:sqref>K3:M3 E3:G4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DAEE4-8C38-4E47-B657-8A7DF1135969}">
  <sheetPr codeName="Sheet5"/>
  <dimension ref="A1:U32"/>
  <sheetViews>
    <sheetView workbookViewId="0">
      <selection activeCell="D4" sqref="D4"/>
    </sheetView>
  </sheetViews>
  <sheetFormatPr defaultRowHeight="14.5" x14ac:dyDescent="0.35"/>
  <cols>
    <col min="1" max="1" width="22.81640625" style="14" customWidth="1"/>
    <col min="2" max="2" width="15.54296875" style="40" bestFit="1" customWidth="1"/>
    <col min="3" max="5" width="11.54296875" style="36" customWidth="1"/>
    <col min="6" max="8" width="9.1796875" style="33"/>
    <col min="9" max="11" width="11.54296875" style="36" customWidth="1"/>
    <col min="12" max="14" width="9.1796875" style="33"/>
    <col min="19" max="21" width="9.1796875" style="38"/>
  </cols>
  <sheetData>
    <row r="1" spans="1:21" ht="18.75" customHeight="1" x14ac:dyDescent="0.35">
      <c r="A1" s="47" t="s">
        <v>44</v>
      </c>
      <c r="B1" s="45" t="s">
        <v>43</v>
      </c>
      <c r="C1" s="42" t="s">
        <v>37</v>
      </c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S1" s="35" t="s">
        <v>42</v>
      </c>
      <c r="T1" s="35" t="s">
        <v>40</v>
      </c>
      <c r="U1" s="35" t="s">
        <v>41</v>
      </c>
    </row>
    <row r="2" spans="1:21" ht="18.75" customHeight="1" x14ac:dyDescent="0.35">
      <c r="A2" s="48"/>
      <c r="B2" s="46"/>
      <c r="C2" s="35" t="s">
        <v>39</v>
      </c>
      <c r="D2" s="35" t="s">
        <v>40</v>
      </c>
      <c r="E2" s="35" t="s">
        <v>41</v>
      </c>
      <c r="F2" s="39" t="s">
        <v>2</v>
      </c>
      <c r="G2" s="39" t="s">
        <v>3</v>
      </c>
      <c r="H2" s="39" t="s">
        <v>4</v>
      </c>
      <c r="I2" s="35" t="s">
        <v>39</v>
      </c>
      <c r="J2" s="35" t="s">
        <v>40</v>
      </c>
      <c r="K2" s="35" t="s">
        <v>41</v>
      </c>
      <c r="L2" s="39" t="s">
        <v>2</v>
      </c>
      <c r="M2" s="39" t="s">
        <v>3</v>
      </c>
      <c r="N2" s="39" t="s">
        <v>4</v>
      </c>
      <c r="S2" s="38">
        <v>1</v>
      </c>
      <c r="T2" s="38">
        <v>1</v>
      </c>
      <c r="U2" s="38">
        <v>2025</v>
      </c>
    </row>
    <row r="3" spans="1:21" x14ac:dyDescent="0.35">
      <c r="A3" s="14">
        <v>5</v>
      </c>
      <c r="B3" s="40" t="str">
        <f>_xlfn.IFNA(VLOOKUP(A3,'Boarder-List'!$A:$B,2,0), "")</f>
        <v>E</v>
      </c>
      <c r="C3" s="36">
        <v>2</v>
      </c>
      <c r="D3" s="36">
        <v>2</v>
      </c>
      <c r="E3" s="36">
        <v>2025</v>
      </c>
      <c r="F3" s="33" t="s">
        <v>32</v>
      </c>
      <c r="G3" s="33" t="s">
        <v>32</v>
      </c>
      <c r="H3" s="33" t="s">
        <v>14</v>
      </c>
      <c r="S3" s="38">
        <v>2</v>
      </c>
      <c r="T3" s="38">
        <v>2</v>
      </c>
    </row>
    <row r="4" spans="1:21" x14ac:dyDescent="0.35">
      <c r="A4" s="14">
        <v>7</v>
      </c>
      <c r="B4" s="40" t="str">
        <f>_xlfn.IFNA(VLOOKUP(A4,'Boarder-List'!$A:$B,2,0), "")</f>
        <v>Surja Sanyal</v>
      </c>
      <c r="C4" s="36">
        <v>1</v>
      </c>
      <c r="D4" s="36">
        <v>2</v>
      </c>
      <c r="E4" s="36">
        <v>2025</v>
      </c>
      <c r="F4" s="33" t="s">
        <v>32</v>
      </c>
      <c r="G4" s="33" t="s">
        <v>14</v>
      </c>
      <c r="H4" s="33" t="s">
        <v>14</v>
      </c>
      <c r="I4" s="36">
        <v>28</v>
      </c>
      <c r="J4" s="36">
        <v>2</v>
      </c>
      <c r="K4" s="36">
        <v>2025</v>
      </c>
      <c r="L4" s="33" t="s">
        <v>14</v>
      </c>
      <c r="M4" s="33" t="s">
        <v>14</v>
      </c>
      <c r="N4" s="33" t="s">
        <v>32</v>
      </c>
      <c r="S4" s="38">
        <v>3</v>
      </c>
      <c r="T4" s="38">
        <v>3</v>
      </c>
    </row>
    <row r="5" spans="1:21" x14ac:dyDescent="0.35">
      <c r="B5" s="40" t="str">
        <f>_xlfn.IFNA(VLOOKUP(A5,'Boarder-List'!$A:$B,2,0), "")</f>
        <v/>
      </c>
      <c r="S5" s="38">
        <v>4</v>
      </c>
      <c r="T5" s="38">
        <v>4</v>
      </c>
    </row>
    <row r="6" spans="1:21" x14ac:dyDescent="0.35">
      <c r="B6" s="40" t="str">
        <f>_xlfn.IFNA(VLOOKUP(A6,'Boarder-List'!$A:$B,2,0), "")</f>
        <v/>
      </c>
      <c r="S6" s="38">
        <v>5</v>
      </c>
      <c r="T6" s="38">
        <v>5</v>
      </c>
    </row>
    <row r="7" spans="1:21" x14ac:dyDescent="0.35">
      <c r="B7" s="40" t="str">
        <f>_xlfn.IFNA(VLOOKUP(A7,'Boarder-List'!$A:$B,2,0), "")</f>
        <v/>
      </c>
      <c r="S7" s="38">
        <v>6</v>
      </c>
      <c r="T7" s="38">
        <v>6</v>
      </c>
    </row>
    <row r="8" spans="1:21" x14ac:dyDescent="0.35">
      <c r="B8" s="40" t="str">
        <f>_xlfn.IFNA(VLOOKUP(A8,'Boarder-List'!$A:$B,2,0), "")</f>
        <v/>
      </c>
      <c r="S8" s="38">
        <v>7</v>
      </c>
      <c r="T8" s="38">
        <v>7</v>
      </c>
    </row>
    <row r="9" spans="1:21" x14ac:dyDescent="0.35">
      <c r="B9" s="40" t="str">
        <f>_xlfn.IFNA(VLOOKUP(A9,'Boarder-List'!$A:$B,2,0), "")</f>
        <v/>
      </c>
      <c r="S9" s="38">
        <v>8</v>
      </c>
      <c r="T9" s="38">
        <v>8</v>
      </c>
    </row>
    <row r="10" spans="1:21" x14ac:dyDescent="0.35">
      <c r="B10" s="40" t="str">
        <f>_xlfn.IFNA(VLOOKUP(A10,'Boarder-List'!$A:$B,2,0), "")</f>
        <v/>
      </c>
      <c r="S10" s="38">
        <v>9</v>
      </c>
      <c r="T10" s="38">
        <v>9</v>
      </c>
    </row>
    <row r="11" spans="1:21" x14ac:dyDescent="0.35">
      <c r="B11" s="40" t="str">
        <f>_xlfn.IFNA(VLOOKUP(A11,'Boarder-List'!$A:$B,2,0), "")</f>
        <v/>
      </c>
      <c r="S11" s="38">
        <v>10</v>
      </c>
      <c r="T11" s="38">
        <v>10</v>
      </c>
    </row>
    <row r="12" spans="1:21" x14ac:dyDescent="0.35">
      <c r="B12" s="40" t="str">
        <f>_xlfn.IFNA(VLOOKUP(A12,'Boarder-List'!$A:$B,2,0), "")</f>
        <v/>
      </c>
      <c r="S12" s="38">
        <v>11</v>
      </c>
      <c r="T12" s="38">
        <v>11</v>
      </c>
    </row>
    <row r="13" spans="1:21" x14ac:dyDescent="0.35">
      <c r="B13" s="40" t="str">
        <f>_xlfn.IFNA(VLOOKUP(A13,'Boarder-List'!$A:$B,2,0), "")</f>
        <v/>
      </c>
      <c r="S13" s="38">
        <v>12</v>
      </c>
      <c r="T13" s="38">
        <v>12</v>
      </c>
    </row>
    <row r="14" spans="1:21" x14ac:dyDescent="0.35">
      <c r="B14" s="40" t="str">
        <f>_xlfn.IFNA(VLOOKUP(A14,'Boarder-List'!$A:$B,2,0), "")</f>
        <v/>
      </c>
      <c r="S14" s="38">
        <v>13</v>
      </c>
    </row>
    <row r="15" spans="1:21" x14ac:dyDescent="0.35">
      <c r="B15" s="40" t="str">
        <f>_xlfn.IFNA(VLOOKUP(A15,'Boarder-List'!$A:$B,2,0), "")</f>
        <v/>
      </c>
      <c r="S15" s="38">
        <v>14</v>
      </c>
    </row>
    <row r="16" spans="1:21" x14ac:dyDescent="0.35">
      <c r="B16" s="40" t="str">
        <f>_xlfn.IFNA(VLOOKUP(A16,'Boarder-List'!$A:$B,2,0), "")</f>
        <v/>
      </c>
      <c r="S16" s="38">
        <v>15</v>
      </c>
    </row>
    <row r="17" spans="2:19" x14ac:dyDescent="0.35">
      <c r="B17" s="40" t="str">
        <f>_xlfn.IFNA(VLOOKUP(A17,'Boarder-List'!$A:$B,2,0), "")</f>
        <v/>
      </c>
      <c r="S17" s="38">
        <v>16</v>
      </c>
    </row>
    <row r="18" spans="2:19" x14ac:dyDescent="0.35">
      <c r="B18" s="40" t="str">
        <f>_xlfn.IFNA(VLOOKUP(A18,'Boarder-List'!$A:$B,2,0), "")</f>
        <v/>
      </c>
      <c r="S18" s="38">
        <v>17</v>
      </c>
    </row>
    <row r="19" spans="2:19" x14ac:dyDescent="0.35">
      <c r="B19" s="40" t="str">
        <f>_xlfn.IFNA(VLOOKUP(A19,'Boarder-List'!$A:$B,2,0), "")</f>
        <v/>
      </c>
      <c r="S19" s="38">
        <v>18</v>
      </c>
    </row>
    <row r="20" spans="2:19" x14ac:dyDescent="0.35">
      <c r="B20" s="40" t="str">
        <f>_xlfn.IFNA(VLOOKUP(A20,'Boarder-List'!$A:$B,2,0), "")</f>
        <v/>
      </c>
      <c r="S20" s="38">
        <v>19</v>
      </c>
    </row>
    <row r="21" spans="2:19" x14ac:dyDescent="0.35">
      <c r="S21" s="38">
        <v>20</v>
      </c>
    </row>
    <row r="22" spans="2:19" x14ac:dyDescent="0.35">
      <c r="S22" s="38">
        <v>21</v>
      </c>
    </row>
    <row r="23" spans="2:19" x14ac:dyDescent="0.35">
      <c r="S23" s="38">
        <v>22</v>
      </c>
    </row>
    <row r="24" spans="2:19" x14ac:dyDescent="0.35">
      <c r="S24" s="38">
        <v>23</v>
      </c>
    </row>
    <row r="25" spans="2:19" x14ac:dyDescent="0.35">
      <c r="S25" s="38">
        <v>24</v>
      </c>
    </row>
    <row r="26" spans="2:19" x14ac:dyDescent="0.35">
      <c r="S26" s="38">
        <v>25</v>
      </c>
    </row>
    <row r="27" spans="2:19" x14ac:dyDescent="0.35">
      <c r="S27" s="38">
        <v>26</v>
      </c>
    </row>
    <row r="28" spans="2:19" x14ac:dyDescent="0.35">
      <c r="S28" s="38">
        <v>27</v>
      </c>
    </row>
    <row r="29" spans="2:19" x14ac:dyDescent="0.35">
      <c r="S29" s="38">
        <v>28</v>
      </c>
    </row>
    <row r="30" spans="2:19" x14ac:dyDescent="0.35">
      <c r="S30" s="38">
        <v>29</v>
      </c>
    </row>
    <row r="31" spans="2:19" x14ac:dyDescent="0.35">
      <c r="S31" s="38">
        <v>30</v>
      </c>
    </row>
    <row r="32" spans="2:19" x14ac:dyDescent="0.35">
      <c r="S32" s="38">
        <v>31</v>
      </c>
    </row>
  </sheetData>
  <mergeCells count="4">
    <mergeCell ref="C1:H1"/>
    <mergeCell ref="I1:N1"/>
    <mergeCell ref="B1:B2"/>
    <mergeCell ref="A1:A2"/>
  </mergeCells>
  <conditionalFormatting sqref="L1:N3 F1:H1048576 L5:N1048576">
    <cfRule type="cellIs" dxfId="11" priority="2" operator="equal">
      <formula>"✓"</formula>
    </cfRule>
  </conditionalFormatting>
  <conditionalFormatting sqref="L4:N4">
    <cfRule type="cellIs" dxfId="10" priority="1" operator="equal">
      <formula>"✓"</formula>
    </cfRule>
  </conditionalFormatting>
  <dataValidations count="3">
    <dataValidation type="list" allowBlank="1" showInputMessage="1" showErrorMessage="1" sqref="C3 I3" xr:uid="{B5C7C307-210C-470B-B9C7-9DF9EC3132AD}">
      <formula1>$S$2:$S$32</formula1>
    </dataValidation>
    <dataValidation type="list" allowBlank="1" showInputMessage="1" showErrorMessage="1" sqref="E3 K3" xr:uid="{C4ABF88D-0749-4015-AFBA-E2D5E8418A13}">
      <formula1>$U$2</formula1>
    </dataValidation>
    <dataValidation type="list" allowBlank="1" showInputMessage="1" showErrorMessage="1" sqref="D3 J3" xr:uid="{EE4E4604-BE30-42CC-BE4D-29C79C7A9FFD}">
      <formula1>$T$2:$T$13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C57A97-14FF-490C-B9B9-A51411716F36}">
          <x14:formula1>
            <xm:f>'Today_02-02-25'!$V$2:$V$3</xm:f>
          </x14:formula1>
          <xm:sqref>F3:H4 L3:N4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6"/>
  <sheetViews>
    <sheetView tabSelected="1" topLeftCell="A4" zoomScale="130" zoomScaleNormal="130" workbookViewId="0">
      <selection activeCell="E6" sqref="E6"/>
    </sheetView>
  </sheetViews>
  <sheetFormatPr defaultColWidth="9.1796875" defaultRowHeight="14.5" x14ac:dyDescent="0.35"/>
  <cols>
    <col min="1" max="1" width="8.7265625" style="22" customWidth="1"/>
    <col min="2" max="2" width="15.54296875" style="22" bestFit="1" customWidth="1"/>
    <col min="3" max="5" width="9.7265625" style="11" customWidth="1"/>
    <col min="6" max="14" width="10.26953125" style="14" bestFit="1" customWidth="1"/>
    <col min="15" max="15" width="11.26953125" style="15" bestFit="1" customWidth="1"/>
    <col min="16" max="17" width="9.1796875" style="16"/>
    <col min="18" max="18" width="10.1796875" style="22" bestFit="1" customWidth="1"/>
    <col min="19" max="19" width="9.1796875" style="22"/>
    <col min="20" max="21" width="9.1796875" style="16"/>
    <col min="22" max="22" width="13.1796875" style="16" bestFit="1" customWidth="1"/>
    <col min="23" max="23" width="11.1796875" style="16" bestFit="1" customWidth="1"/>
    <col min="24" max="16384" width="9.1796875" style="16"/>
  </cols>
  <sheetData>
    <row r="1" spans="1:32" x14ac:dyDescent="0.3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26</v>
      </c>
      <c r="G1" s="9" t="s">
        <v>27</v>
      </c>
      <c r="H1" s="9" t="s">
        <v>28</v>
      </c>
      <c r="I1" s="9" t="s">
        <v>33</v>
      </c>
      <c r="J1" s="9" t="s">
        <v>34</v>
      </c>
      <c r="K1" s="9" t="s">
        <v>29</v>
      </c>
      <c r="L1" s="9" t="s">
        <v>30</v>
      </c>
      <c r="M1" s="9" t="s">
        <v>31</v>
      </c>
      <c r="N1" s="9" t="s">
        <v>17</v>
      </c>
      <c r="O1" s="9" t="s">
        <v>19</v>
      </c>
      <c r="R1" s="9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35">
      <c r="A2" s="22" cm="1">
        <f t="array" aca="1" ref="A2" ca="1">IF('Boarder-List'!A2&lt;&gt;0,'Boarder-List'!A2,CELL("contents",INDIRECT(ADDRESS(ROW()-1,COLUMN()))) + 1)</f>
        <v>1</v>
      </c>
      <c r="B2" s="22" t="str">
        <f ca="1">IF(VLOOKUP(A2,'Boarder-List'!$A:$B,2,0) = "", "**Unoccupied**", VLOOKUP(A2,'Boarder-List'!$A:$B,2,0))</f>
        <v>A</v>
      </c>
      <c r="C2" s="10" t="s">
        <v>32</v>
      </c>
      <c r="D2" s="10" t="s">
        <v>32</v>
      </c>
      <c r="E2" s="10" t="s">
        <v>32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3" cm="1">
        <f t="array" aca="1" ref="N2" ca="1">IF(B2 &lt;&gt; "**Unoccupied**", SUM(IF(NOT(ISERROR(FIND("✓", C2))), VLOOKUP("Breakfast", $T:$U, 2, 0), 0), IF(NOT(ISERROR(FIND("✓", D2))), VLOOKUP("Lunch", $T:$U, 2, 0), 0), IF(NOT(ISERROR(FIND("✓", E2))), VLOOKUP("Dinner", $T:$U, 2, 0), 0), SUMPRODUCT(INDIRECT(ADDRESS(ROW(), 6)):INDIRECT(ADDRESS(ROW(), COLUMN() - 1)), VLOOKUP(INDIRECT(ADDRESS(1, 6)):INDIRECT(ADDRESS(1, COLUMN() - 1)),$R:$S,2,0))), "-")</f>
        <v>125</v>
      </c>
      <c r="O2" s="14">
        <f ca="1">SUM($N:$N)</f>
        <v>1075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4">
      <c r="A3" s="22" cm="1">
        <f t="array" aca="1" ref="A3" ca="1">IF('Boarder-List'!A3&lt;&gt;0,'Boarder-List'!A3,CELL("contents",INDIRECT(ADDRESS(ROW()-1,COLUMN()))) + 1)</f>
        <v>2</v>
      </c>
      <c r="B3" s="22" t="str">
        <f ca="1">IF(VLOOKUP(A3,'Boarder-List'!$A:$B,2,0) = "", "**Unoccupied**", VLOOKUP(A3,'Boarder-List'!$A:$B,2,0))</f>
        <v>B</v>
      </c>
      <c r="C3" s="10" t="s">
        <v>32</v>
      </c>
      <c r="D3" s="10" t="s">
        <v>32</v>
      </c>
      <c r="E3" s="10" t="s">
        <v>32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3" cm="1">
        <f t="array" aca="1" ref="N3" ca="1">IF(B3 &lt;&gt; "**Unoccupied**", SUM(IF(NOT(ISERROR(FIND("✓", C3))), VLOOKUP("Breakfast", $T:$U, 2, 0), 0), IF(NOT(ISERROR(FIND("✓", D3))), VLOOKUP("Lunch", $T:$U, 2, 0), 0), IF(NOT(ISERROR(FIND("✓", E3))), VLOOKUP("Dinner", $T:$U, 2, 0), 0), SUMPRODUCT(INDIRECT(ADDRESS(ROW(), 6)):INDIRECT(ADDRESS(ROW(), COLUMN() - 1)), VLOOKUP(INDIRECT(ADDRESS(1, 6)):INDIRECT(ADDRESS(1, COLUMN() - 1)),$R:$S,2,0))), "-")</f>
        <v>125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4">
      <c r="A4" s="22" cm="1">
        <f t="array" aca="1" ref="A4" ca="1">IF('Boarder-List'!A4&lt;&gt;0,'Boarder-List'!A4,CELL("contents",INDIRECT(ADDRESS(ROW()-1,COLUMN()))) + 1)</f>
        <v>3</v>
      </c>
      <c r="B4" s="22" t="str">
        <f ca="1">IF(VLOOKUP(A4,'Boarder-List'!$A:$B,2,0) = "", "**Unoccupied**", VLOOKUP(A4,'Boarder-List'!$A:$B,2,0))</f>
        <v>C</v>
      </c>
      <c r="C4" s="10" t="s">
        <v>32</v>
      </c>
      <c r="D4" s="10" t="s">
        <v>32</v>
      </c>
      <c r="E4" s="10" t="s">
        <v>32</v>
      </c>
      <c r="F4" s="12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3" cm="1">
        <f t="array" aca="1" ref="N4" ca="1">IF(B4 &lt;&gt; "**Unoccupied**", SUM(IF(NOT(ISERROR(FIND("✓", C4))), VLOOKUP("Breakfast", $T:$U, 2, 0), 0), IF(NOT(ISERROR(FIND("✓", D4))), VLOOKUP("Lunch", $T:$U, 2, 0), 0), IF(NOT(ISERROR(FIND("✓", E4))), VLOOKUP("Dinner", $T:$U, 2, 0), 0), SUMPRODUCT(INDIRECT(ADDRESS(ROW(), 6)):INDIRECT(ADDRESS(ROW(), COLUMN() - 1)), VLOOKUP(INDIRECT(ADDRESS(1, 6)):INDIRECT(ADDRESS(1, COLUMN() - 1)),$R:$S,2,0))), "-")</f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35">
      <c r="A5" s="22" cm="1">
        <f t="array" aca="1" ref="A5" ca="1">IF('Boarder-List'!A5&lt;&gt;0,'Boarder-List'!A5,CELL("contents",INDIRECT(ADDRESS(ROW()-1,COLUMN()))) + 1)</f>
        <v>4</v>
      </c>
      <c r="B5" s="22" t="str">
        <f ca="1">IF(VLOOKUP(A5,'Boarder-List'!$A:$B,2,0) = "", "**Unoccupied**", VLOOKUP(A5,'Boarder-List'!$A:$B,2,0))</f>
        <v>D</v>
      </c>
      <c r="C5" s="10" t="s">
        <v>32</v>
      </c>
      <c r="D5" s="10" t="s">
        <v>32</v>
      </c>
      <c r="E5" s="10" t="s">
        <v>32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3" cm="1">
        <f t="array" aca="1" ref="N5" ca="1">IF(B5 &lt;&gt; "**Unoccupied**", SUM(IF(NOT(ISERROR(FIND("✓", C5))), VLOOKUP("Breakfast", $T:$U, 2, 0), 0), IF(NOT(ISERROR(FIND("✓", D5))), VLOOKUP("Lunch", $T:$U, 2, 0), 0), IF(NOT(ISERROR(FIND("✓", E5))), VLOOKUP("Dinner", $T:$U, 2, 0), 0), SUMPRODUCT(INDIRECT(ADDRESS(ROW(), 6)):INDIRECT(ADDRESS(ROW(), COLUMN() - 1)), VLOOKUP(INDIRECT(ADDRESS(1, 6)):INDIRECT(ADDRESS(1, COLUMN() - 1)),$R:$S,2,0))), "-")</f>
        <v>125</v>
      </c>
      <c r="R5" s="22" t="s">
        <v>33</v>
      </c>
      <c r="S5" s="22">
        <v>12</v>
      </c>
    </row>
    <row r="6" spans="1:32" ht="32.25" customHeight="1" x14ac:dyDescent="0.35">
      <c r="A6" s="22" cm="1">
        <f t="array" aca="1" ref="A6" ca="1">IF('Boarder-List'!A6&lt;&gt;0,'Boarder-List'!A6,CELL("contents",INDIRECT(ADDRESS(ROW()-1,COLUMN()))) + 1)</f>
        <v>5</v>
      </c>
      <c r="B6" s="22" t="str">
        <f ca="1">IF(VLOOKUP(A6,'Boarder-List'!$A:$B,2,0) = "", "**Unoccupied**", VLOOKUP(A6,'Boarder-List'!$A:$B,2,0))</f>
        <v>E</v>
      </c>
      <c r="C6" s="10" t="s">
        <v>32</v>
      </c>
      <c r="D6" s="10" t="s">
        <v>32</v>
      </c>
      <c r="E6" s="10" t="s">
        <v>14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3" cm="1">
        <f t="array" aca="1" ref="N6" ca="1">IF(B6 &lt;&gt; "**Unoccupied**", SUM(IF(NOT(ISERROR(FIND("✓", C6))), VLOOKUP("Breakfast", $T:$U, 2, 0), 0), IF(NOT(ISERROR(FIND("✓", D6))), VLOOKUP("Lunch", $T:$U, 2, 0), 0), IF(NOT(ISERROR(FIND("✓", E6))), VLOOKUP("Dinner", $T:$U, 2, 0), 0), SUMPRODUCT(INDIRECT(ADDRESS(ROW(), 6)):INDIRECT(ADDRESS(ROW(), COLUMN() - 1)), VLOOKUP(INDIRECT(ADDRESS(1, 6)):INDIRECT(ADDRESS(1, COLUMN() - 1)),$R:$S,2,0))), "-")</f>
        <v>75</v>
      </c>
      <c r="R6" s="22" t="s">
        <v>34</v>
      </c>
      <c r="S6" s="22">
        <v>25</v>
      </c>
    </row>
    <row r="7" spans="1:32" ht="32.25" customHeight="1" x14ac:dyDescent="0.35">
      <c r="A7" s="22" cm="1">
        <f t="array" aca="1" ref="A7" ca="1">IF('Boarder-List'!A7&lt;&gt;0,'Boarder-List'!A7,CELL("contents",INDIRECT(ADDRESS(ROW()-1,COLUMN()))) + 1)</f>
        <v>6</v>
      </c>
      <c r="B7" s="22" t="str">
        <f ca="1">IF(VLOOKUP(A7,'Boarder-List'!$A:$B,2,0) = "", "**Unoccupied**", VLOOKUP(A7,'Boarder-List'!$A:$B,2,0))</f>
        <v>F</v>
      </c>
      <c r="C7" s="10" t="s">
        <v>32</v>
      </c>
      <c r="D7" s="10" t="s">
        <v>32</v>
      </c>
      <c r="E7" s="10" t="s">
        <v>32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2">
        <v>0</v>
      </c>
      <c r="M7" s="12">
        <v>0</v>
      </c>
      <c r="N7" s="13" cm="1">
        <f t="array" aca="1" ref="N7" ca="1">IF(B7 &lt;&gt; "**Unoccupied**", SUM(IF(NOT(ISERROR(FIND("✓", C7))), VLOOKUP("Breakfast", $T:$U, 2, 0), 0), IF(NOT(ISERROR(FIND("✓", D7))), VLOOKUP("Lunch", $T:$U, 2, 0), 0), IF(NOT(ISERROR(FIND("✓", E7))), VLOOKUP("Dinner", $T:$U, 2, 0), 0), SUMPRODUCT(INDIRECT(ADDRESS(ROW(), 6)):INDIRECT(ADDRESS(ROW(), COLUMN() - 1)), VLOOKUP(INDIRECT(ADDRESS(1, 6)):INDIRECT(ADDRESS(1, COLUMN() - 1)),$R:$S,2,0))), "-")</f>
        <v>125</v>
      </c>
      <c r="R7" s="22" t="s">
        <v>29</v>
      </c>
      <c r="S7" s="22">
        <v>10</v>
      </c>
    </row>
    <row r="8" spans="1:32" ht="32.25" customHeight="1" x14ac:dyDescent="0.35">
      <c r="A8" s="22" cm="1">
        <f t="array" aca="1" ref="A8" ca="1">IF('Boarder-List'!A8&lt;&gt;0,'Boarder-List'!A8,CELL("contents",INDIRECT(ADDRESS(ROW()-1,COLUMN()))) + 1)</f>
        <v>7</v>
      </c>
      <c r="B8" s="22" t="str">
        <f ca="1">IF(VLOOKUP(A8,'Boarder-List'!$A:$B,2,0) = "", "**Unoccupied**", VLOOKUP(A8,'Boarder-List'!$A:$B,2,0))</f>
        <v>Surja Sanyal</v>
      </c>
      <c r="C8" s="10" t="s">
        <v>14</v>
      </c>
      <c r="D8" s="10" t="s">
        <v>14</v>
      </c>
      <c r="E8" s="10" t="s">
        <v>14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3" cm="1">
        <f t="array" aca="1" ref="N8" ca="1">IF(B8 &lt;&gt; "**Unoccupied**", SUM(IF(NOT(ISERROR(FIND("✓", C8))), VLOOKUP("Breakfast", $T:$U, 2, 0), 0), IF(NOT(ISERROR(FIND("✓", D8))), VLOOKUP("Lunch", $T:$U, 2, 0), 0), IF(NOT(ISERROR(FIND("✓", E8))), VLOOKUP("Dinner", $T:$U, 2, 0), 0), SUMPRODUCT(INDIRECT(ADDRESS(ROW(), 6)):INDIRECT(ADDRESS(ROW(), COLUMN() - 1)), VLOOKUP(INDIRECT(ADDRESS(1, 6)):INDIRECT(ADDRESS(1, COLUMN() - 1)),$R:$S,2,0))), "-")</f>
        <v>0</v>
      </c>
      <c r="R8" s="22" t="s">
        <v>30</v>
      </c>
      <c r="S8" s="22">
        <v>15</v>
      </c>
    </row>
    <row r="9" spans="1:32" ht="32.25" customHeight="1" x14ac:dyDescent="0.35">
      <c r="A9" s="22" cm="1">
        <f t="array" aca="1" ref="A9" ca="1">IF('Boarder-List'!A9&lt;&gt;0,'Boarder-List'!A9,CELL("contents",INDIRECT(ADDRESS(ROW()-1,COLUMN()))) + 1)</f>
        <v>8</v>
      </c>
      <c r="B9" s="22" t="str">
        <f ca="1">IF(VLOOKUP(A9,'Boarder-List'!$A:$B,2,0) = "", "**Unoccupied**", VLOOKUP(A9,'Boarder-List'!$A:$B,2,0))</f>
        <v>G</v>
      </c>
      <c r="C9" s="10" t="s">
        <v>32</v>
      </c>
      <c r="D9" s="10" t="s">
        <v>32</v>
      </c>
      <c r="E9" s="10" t="s">
        <v>32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3" cm="1">
        <f t="array" aca="1" ref="N9" ca="1">IF(B9 &lt;&gt; "**Unoccupied**", SUM(IF(NOT(ISERROR(FIND("✓", C9))), VLOOKUP("Breakfast", $T:$U, 2, 0), 0), IF(NOT(ISERROR(FIND("✓", D9))), VLOOKUP("Lunch", $T:$U, 2, 0), 0), IF(NOT(ISERROR(FIND("✓", E9))), VLOOKUP("Dinner", $T:$U, 2, 0), 0), SUMPRODUCT(INDIRECT(ADDRESS(ROW(), 6)):INDIRECT(ADDRESS(ROW(), COLUMN() - 1)), VLOOKUP(INDIRECT(ADDRESS(1, 6)):INDIRECT(ADDRESS(1, COLUMN() - 1)),$R:$S,2,0))), "-")</f>
        <v>125</v>
      </c>
      <c r="R9" s="22" t="s">
        <v>31</v>
      </c>
      <c r="S9" s="22">
        <v>12</v>
      </c>
    </row>
    <row r="10" spans="1:32" ht="32.25" customHeight="1" x14ac:dyDescent="0.35">
      <c r="A10" s="22" cm="1">
        <f t="array" aca="1" ref="A10" ca="1">IF('Boarder-List'!A10&lt;&gt;0,'Boarder-List'!A10,CELL("contents",INDIRECT(ADDRESS(ROW()-1,COLUMN()))) + 1)</f>
        <v>9</v>
      </c>
      <c r="B10" s="22" t="str">
        <f ca="1">IF(VLOOKUP(A10,'Boarder-List'!$A:$B,2,0) = "", "**Unoccupied**", VLOOKUP(A10,'Boarder-List'!$A:$B,2,0))</f>
        <v>H</v>
      </c>
      <c r="C10" s="10" t="s">
        <v>32</v>
      </c>
      <c r="D10" s="10" t="s">
        <v>32</v>
      </c>
      <c r="E10" s="10" t="s">
        <v>32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3" cm="1">
        <f t="array" aca="1" ref="N10" ca="1">IF(B10 &lt;&gt; "**Unoccupied**", SUM(IF(NOT(ISERROR(FIND("✓", C10))), VLOOKUP("Breakfast", $T:$U, 2, 0), 0), IF(NOT(ISERROR(FIND("✓", D10))), VLOOKUP("Lunch", $T:$U, 2, 0), 0), IF(NOT(ISERROR(FIND("✓", E10))), VLOOKUP("Dinner", $T:$U, 2, 0), 0), SUMPRODUCT(INDIRECT(ADDRESS(ROW(), 6)):INDIRECT(ADDRESS(ROW(), COLUMN() - 1)), VLOOKUP(INDIRECT(ADDRESS(1, 6)):INDIRECT(ADDRESS(1, COLUMN() - 1)),$R:$S,2,0))), "-")</f>
        <v>125</v>
      </c>
    </row>
    <row r="11" spans="1:32" ht="32.25" customHeight="1" x14ac:dyDescent="0.35">
      <c r="A11" s="22" cm="1">
        <f t="array" aca="1" ref="A11" ca="1">IF('Boarder-List'!A11&lt;&gt;0,'Boarder-List'!A11,CELL("contents",INDIRECT(ADDRESS(ROW()-1,COLUMN()))) + 1)</f>
        <v>10</v>
      </c>
      <c r="B11" s="22" t="str">
        <f ca="1">IF(VLOOKUP(A11,'Boarder-List'!$A:$B,2,0) = "", "**Unoccupied**", VLOOKUP(A11,'Boarder-List'!$A:$B,2,0))</f>
        <v>I</v>
      </c>
      <c r="C11" s="10" t="s">
        <v>32</v>
      </c>
      <c r="D11" s="10" t="s">
        <v>32</v>
      </c>
      <c r="E11" s="10" t="s">
        <v>32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3" cm="1">
        <f t="array" aca="1" ref="N11" ca="1">IF(B11 &lt;&gt; "**Unoccupied**", SUM(IF(NOT(ISERROR(FIND("✓", C11))), VLOOKUP("Breakfast", $T:$U, 2, 0), 0), IF(NOT(ISERROR(FIND("✓", D11))), VLOOKUP("Lunch", $T:$U, 2, 0), 0), IF(NOT(ISERROR(FIND("✓", E11))), VLOOKUP("Dinner", $T:$U, 2, 0), 0), SUMPRODUCT(INDIRECT(ADDRESS(ROW(), 6)):INDIRECT(ADDRESS(ROW(), COLUMN() - 1)), VLOOKUP(INDIRECT(ADDRESS(1, 6)):INDIRECT(ADDRESS(1, COLUMN() - 1)),$R:$S,2,0))), "-")</f>
        <v>125</v>
      </c>
    </row>
    <row r="12" spans="1:32" ht="32.25" customHeight="1" x14ac:dyDescent="0.35">
      <c r="A12" s="22" cm="1">
        <f t="array" aca="1" ref="A12" ca="1">IF('Boarder-List'!A12&lt;&gt;0,'Boarder-List'!A12,CELL("contents",INDIRECT(ADDRESS(ROW()-1,COLUMN()))) + 1)</f>
        <v>11</v>
      </c>
      <c r="B12" s="22" t="str">
        <f ca="1">IF(VLOOKUP(A12,'Boarder-List'!$A:$B,2,0) = "", "**Unoccupied**", VLOOKUP(A12,'Boarder-List'!$A:$B,2,0))</f>
        <v>**Unoccupied**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tr" cm="1">
        <f t="array" aca="1" ref="N12" ca="1">IF(B12 &lt;&gt; "**Unoccupied**", SUM(IF(NOT(ISERROR(FIND("✓", C12))), VLOOKUP("Breakfast", $T:$U, 2, 0), 0), IF(NOT(ISERROR(FIND("✓", D12))), VLOOKUP("Lunch", $T:$U, 2, 0), 0), IF(NOT(ISERROR(FIND("✓", E12))), VLOOKUP("Dinner", $T:$U, 2, 0), 0), SUMPRODUCT(INDIRECT(ADDRESS(ROW(), 6)):INDIRECT(ADDRESS(ROW(), COLUMN() - 1)), VLOOKUP(INDIRECT(ADDRESS(1, 6)):INDIRECT(ADDRESS(1, COLUMN() - 1)),$R:$S,2,0))), "-")</f>
        <v>-</v>
      </c>
    </row>
    <row r="13" spans="1:32" ht="32.25" customHeight="1" x14ac:dyDescent="0.35">
      <c r="A13" s="22" cm="1">
        <f t="array" aca="1" ref="A13" ca="1">IF('Boarder-List'!A13&lt;&gt;0,'Boarder-List'!A13,CELL("contents",INDIRECT(ADDRESS(ROW()-1,COLUMN()))) + 1)</f>
        <v>12</v>
      </c>
      <c r="B13" s="22" t="str">
        <f ca="1">IF(VLOOKUP(A13,'Boarder-List'!$A:$B,2,0) = "", "**Unoccupied**", VLOOKUP(A13,'Boarder-List'!$A:$B,2,0))</f>
        <v>**Unoccupied**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tr" cm="1">
        <f t="array" aca="1" ref="N13" ca="1">IF(B13 &lt;&gt; "**Unoccupied**", SUM(IF(NOT(ISERROR(FIND("✓", C13))), VLOOKUP("Breakfast", $T:$U, 2, 0), 0), IF(NOT(ISERROR(FIND("✓", D13))), VLOOKUP("Lunch", $T:$U, 2, 0), 0), IF(NOT(ISERROR(FIND("✓", E13))), VLOOKUP("Dinner", $T:$U, 2, 0), 0), SUMPRODUCT(INDIRECT(ADDRESS(ROW(), 6)):INDIRECT(ADDRESS(ROW(), COLUMN() - 1)), VLOOKUP(INDIRECT(ADDRESS(1, 6)):INDIRECT(ADDRESS(1, COLUMN() - 1)),$R:$S,2,0))), "-")</f>
        <v>-</v>
      </c>
    </row>
    <row r="14" spans="1:32" ht="32.25" customHeight="1" x14ac:dyDescent="0.35">
      <c r="A14" s="22" cm="1">
        <f t="array" aca="1" ref="A14" ca="1">IF('Boarder-List'!A14&lt;&gt;0,'Boarder-List'!A14,CELL("contents",INDIRECT(ADDRESS(ROW()-1,COLUMN()))) + 1)</f>
        <v>13</v>
      </c>
      <c r="B14" s="22" t="str">
        <f ca="1">IF(VLOOKUP(A14,'Boarder-List'!$A:$B,2,0) = "", "**Unoccupied**", VLOOKUP(A14,'Boarder-List'!$A:$B,2,0))</f>
        <v>**Unoccupied**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35">
      <c r="A15" s="22" cm="1">
        <f t="array" aca="1" ref="A15" ca="1">IF('Boarder-List'!A15&lt;&gt;0,'Boarder-List'!A15,CELL("contents",INDIRECT(ADDRESS(ROW()-1,COLUMN()))) + 1)</f>
        <v>14</v>
      </c>
      <c r="B15" s="22" t="str">
        <f ca="1">IF(VLOOKUP(A15,'Boarder-List'!$A:$B,2,0) = "", "**Unoccupied**", VLOOKUP(A15,'Boarder-List'!$A:$B,2,0))</f>
        <v>**Unoccupied**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35">
      <c r="A16" s="22" cm="1">
        <f t="array" aca="1" ref="A16" ca="1">IF('Boarder-List'!A16&lt;&gt;0,'Boarder-List'!A16,CELL("contents",INDIRECT(ADDRESS(ROW()-1,COLUMN()))) + 1)</f>
        <v>15</v>
      </c>
      <c r="B16" s="22" t="str">
        <f ca="1">IF(VLOOKUP(A16,'Boarder-List'!$A:$B,2,0) = "", "**Unoccupied**", VLOOKUP(A16,'Boarder-List'!$A:$B,2,0))</f>
        <v>**Unoccupied**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honeticPr fontId="3" type="noConversion"/>
  <conditionalFormatting sqref="C2:E16">
    <cfRule type="cellIs" dxfId="9" priority="22" operator="equal">
      <formula>$V$2</formula>
    </cfRule>
  </conditionalFormatting>
  <conditionalFormatting sqref="V2">
    <cfRule type="cellIs" dxfId="8" priority="21" operator="equal">
      <formula>$V$2</formula>
    </cfRule>
  </conditionalFormatting>
  <conditionalFormatting sqref="F2:F11">
    <cfRule type="cellIs" dxfId="7" priority="23" stopIfTrue="1" operator="greaterThan">
      <formula>0</formula>
    </cfRule>
  </conditionalFormatting>
  <conditionalFormatting sqref="G2:G11">
    <cfRule type="cellIs" dxfId="6" priority="24" stopIfTrue="1" operator="greaterThan">
      <formula>0</formula>
    </cfRule>
  </conditionalFormatting>
  <conditionalFormatting sqref="H2:H11">
    <cfRule type="cellIs" dxfId="5" priority="25" stopIfTrue="1" operator="greaterThan">
      <formula>0</formula>
    </cfRule>
  </conditionalFormatting>
  <conditionalFormatting sqref="K2:K11">
    <cfRule type="cellIs" dxfId="4" priority="28" stopIfTrue="1" operator="greaterThan">
      <formula>0</formula>
    </cfRule>
  </conditionalFormatting>
  <conditionalFormatting sqref="L2:L11">
    <cfRule type="cellIs" dxfId="3" priority="29" stopIfTrue="1" operator="greaterThan">
      <formula>0</formula>
    </cfRule>
  </conditionalFormatting>
  <conditionalFormatting sqref="I2:I11">
    <cfRule type="cellIs" dxfId="2" priority="26" stopIfTrue="1" operator="greaterThan">
      <formula>0</formula>
    </cfRule>
  </conditionalFormatting>
  <conditionalFormatting sqref="J2:J11">
    <cfRule type="cellIs" dxfId="1" priority="27" stopIfTrue="1" operator="greaterThan">
      <formula>0</formula>
    </cfRule>
  </conditionalFormatting>
  <conditionalFormatting sqref="M2:M11">
    <cfRule type="cellIs" dxfId="0" priority="30" stopIfTrue="1" operator="greaterThan">
      <formula>0</formula>
    </cfRule>
  </conditionalFormatting>
  <dataValidations count="1">
    <dataValidation type="list" allowBlank="1" showInputMessage="1" showErrorMessage="1" sqref="C2:E16" xr:uid="{06A63002-6FB1-4CA4-9B4A-489883B105C6}">
      <formula1>$V$2:$V$3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0" r:id="rId4" name="Button 846">
              <controlPr defaultSize="0" print="0" autoFill="0" autoPict="0" macro="[0]!Update_Item_List">
                <anchor moveWithCells="1">
                  <from>
                    <xdr:col>15</xdr:col>
                    <xdr:colOff>50800</xdr:colOff>
                    <xdr:row>0</xdr:row>
                    <xdr:rowOff>38100</xdr:rowOff>
                  </from>
                  <to>
                    <xdr:col>16</xdr:col>
                    <xdr:colOff>565150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7" r:id="rId5" name="Spinner 3447">
              <controlPr defaultSize="0" autoPict="0">
                <anchor moveWithCells="1" sizeWithCells="1">
                  <from>
                    <xdr:col>5</xdr:col>
                    <xdr:colOff>412750</xdr:colOff>
                    <xdr:row>1</xdr:row>
                    <xdr:rowOff>38100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8" r:id="rId6" name="Spinner 3448">
              <controlPr defaultSize="0" autoPict="0">
                <anchor moveWithCells="1" sizeWithCells="1">
                  <from>
                    <xdr:col>5</xdr:col>
                    <xdr:colOff>412750</xdr:colOff>
                    <xdr:row>2</xdr:row>
                    <xdr:rowOff>38100</xdr:rowOff>
                  </from>
                  <to>
                    <xdr:col>6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9" r:id="rId7" name="Spinner 3449">
              <controlPr defaultSize="0" autoPict="0">
                <anchor moveWithCells="1" sizeWithCells="1">
                  <from>
                    <xdr:col>5</xdr:col>
                    <xdr:colOff>412750</xdr:colOff>
                    <xdr:row>3</xdr:row>
                    <xdr:rowOff>38100</xdr:rowOff>
                  </from>
                  <to>
                    <xdr:col>6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0" r:id="rId8" name="Spinner 3450">
              <controlPr defaultSize="0" autoPict="0">
                <anchor moveWithCells="1" sizeWithCells="1">
                  <from>
                    <xdr:col>5</xdr:col>
                    <xdr:colOff>412750</xdr:colOff>
                    <xdr:row>4</xdr:row>
                    <xdr:rowOff>38100</xdr:rowOff>
                  </from>
                  <to>
                    <xdr:col>6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1" r:id="rId9" name="Spinner 3451">
              <controlPr defaultSize="0" autoPict="0">
                <anchor moveWithCells="1" sizeWithCells="1">
                  <from>
                    <xdr:col>5</xdr:col>
                    <xdr:colOff>412750</xdr:colOff>
                    <xdr:row>5</xdr:row>
                    <xdr:rowOff>38100</xdr:rowOff>
                  </from>
                  <to>
                    <xdr:col>6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2" r:id="rId10" name="Spinner 3452">
              <controlPr defaultSize="0" autoPict="0">
                <anchor moveWithCells="1" sizeWithCells="1">
                  <from>
                    <xdr:col>5</xdr:col>
                    <xdr:colOff>412750</xdr:colOff>
                    <xdr:row>6</xdr:row>
                    <xdr:rowOff>38100</xdr:rowOff>
                  </from>
                  <to>
                    <xdr:col>6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3" r:id="rId11" name="Spinner 3453">
              <controlPr defaultSize="0" autoPict="0">
                <anchor moveWithCells="1" sizeWithCells="1">
                  <from>
                    <xdr:col>5</xdr:col>
                    <xdr:colOff>412750</xdr:colOff>
                    <xdr:row>7</xdr:row>
                    <xdr:rowOff>38100</xdr:rowOff>
                  </from>
                  <to>
                    <xdr:col>6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4" r:id="rId12" name="Spinner 3454">
              <controlPr defaultSize="0" autoPict="0">
                <anchor moveWithCells="1" sizeWithCells="1">
                  <from>
                    <xdr:col>5</xdr:col>
                    <xdr:colOff>412750</xdr:colOff>
                    <xdr:row>8</xdr:row>
                    <xdr:rowOff>38100</xdr:rowOff>
                  </from>
                  <to>
                    <xdr:col>6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5" r:id="rId13" name="Spinner 3455">
              <controlPr defaultSize="0" autoPict="0">
                <anchor moveWithCells="1" sizeWithCells="1">
                  <from>
                    <xdr:col>5</xdr:col>
                    <xdr:colOff>412750</xdr:colOff>
                    <xdr:row>9</xdr:row>
                    <xdr:rowOff>38100</xdr:rowOff>
                  </from>
                  <to>
                    <xdr:col>6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6" r:id="rId14" name="Spinner 3456">
              <controlPr defaultSize="0" autoPict="0">
                <anchor moveWithCells="1" sizeWithCells="1">
                  <from>
                    <xdr:col>5</xdr:col>
                    <xdr:colOff>412750</xdr:colOff>
                    <xdr:row>10</xdr:row>
                    <xdr:rowOff>38100</xdr:rowOff>
                  </from>
                  <to>
                    <xdr:col>6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7" r:id="rId15" name="Spinner 3457">
              <controlPr defaultSize="0" autoPict="0">
                <anchor moveWithCells="1" sizeWithCells="1">
                  <from>
                    <xdr:col>6</xdr:col>
                    <xdr:colOff>412750</xdr:colOff>
                    <xdr:row>1</xdr:row>
                    <xdr:rowOff>38100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8" r:id="rId16" name="Spinner 3458">
              <controlPr defaultSize="0" autoPict="0">
                <anchor moveWithCells="1" sizeWithCells="1">
                  <from>
                    <xdr:col>6</xdr:col>
                    <xdr:colOff>412750</xdr:colOff>
                    <xdr:row>2</xdr:row>
                    <xdr:rowOff>38100</xdr:rowOff>
                  </from>
                  <to>
                    <xdr:col>7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9" r:id="rId17" name="Spinner 3459">
              <controlPr defaultSize="0" autoPict="0">
                <anchor moveWithCells="1" sizeWithCells="1">
                  <from>
                    <xdr:col>6</xdr:col>
                    <xdr:colOff>412750</xdr:colOff>
                    <xdr:row>3</xdr:row>
                    <xdr:rowOff>38100</xdr:rowOff>
                  </from>
                  <to>
                    <xdr:col>7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0" r:id="rId18" name="Spinner 3460">
              <controlPr defaultSize="0" autoPict="0">
                <anchor moveWithCells="1" sizeWithCells="1">
                  <from>
                    <xdr:col>6</xdr:col>
                    <xdr:colOff>412750</xdr:colOff>
                    <xdr:row>4</xdr:row>
                    <xdr:rowOff>38100</xdr:rowOff>
                  </from>
                  <to>
                    <xdr:col>7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1" r:id="rId19" name="Spinner 3461">
              <controlPr defaultSize="0" autoPict="0">
                <anchor moveWithCells="1" sizeWithCells="1">
                  <from>
                    <xdr:col>6</xdr:col>
                    <xdr:colOff>412750</xdr:colOff>
                    <xdr:row>5</xdr:row>
                    <xdr:rowOff>38100</xdr:rowOff>
                  </from>
                  <to>
                    <xdr:col>7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2" r:id="rId20" name="Spinner 3462">
              <controlPr defaultSize="0" autoPict="0">
                <anchor moveWithCells="1" sizeWithCells="1">
                  <from>
                    <xdr:col>6</xdr:col>
                    <xdr:colOff>412750</xdr:colOff>
                    <xdr:row>6</xdr:row>
                    <xdr:rowOff>38100</xdr:rowOff>
                  </from>
                  <to>
                    <xdr:col>7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3" r:id="rId21" name="Spinner 3463">
              <controlPr defaultSize="0" autoPict="0">
                <anchor moveWithCells="1" sizeWithCells="1">
                  <from>
                    <xdr:col>6</xdr:col>
                    <xdr:colOff>412750</xdr:colOff>
                    <xdr:row>7</xdr:row>
                    <xdr:rowOff>38100</xdr:rowOff>
                  </from>
                  <to>
                    <xdr:col>7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4" r:id="rId22" name="Spinner 3464">
              <controlPr defaultSize="0" autoPict="0">
                <anchor moveWithCells="1" sizeWithCells="1">
                  <from>
                    <xdr:col>6</xdr:col>
                    <xdr:colOff>412750</xdr:colOff>
                    <xdr:row>8</xdr:row>
                    <xdr:rowOff>38100</xdr:rowOff>
                  </from>
                  <to>
                    <xdr:col>7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5" r:id="rId23" name="Spinner 3465">
              <controlPr defaultSize="0" autoPict="0">
                <anchor moveWithCells="1" sizeWithCells="1">
                  <from>
                    <xdr:col>6</xdr:col>
                    <xdr:colOff>412750</xdr:colOff>
                    <xdr:row>9</xdr:row>
                    <xdr:rowOff>38100</xdr:rowOff>
                  </from>
                  <to>
                    <xdr:col>7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6" r:id="rId24" name="Spinner 3466">
              <controlPr defaultSize="0" autoPict="0">
                <anchor moveWithCells="1" sizeWithCells="1">
                  <from>
                    <xdr:col>6</xdr:col>
                    <xdr:colOff>412750</xdr:colOff>
                    <xdr:row>10</xdr:row>
                    <xdr:rowOff>38100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7" r:id="rId25" name="Spinner 3467">
              <controlPr defaultSize="0" autoPict="0">
                <anchor moveWithCells="1" sizeWithCells="1">
                  <from>
                    <xdr:col>7</xdr:col>
                    <xdr:colOff>412750</xdr:colOff>
                    <xdr:row>1</xdr:row>
                    <xdr:rowOff>38100</xdr:rowOff>
                  </from>
                  <to>
                    <xdr:col>8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8" r:id="rId26" name="Spinner 3468">
              <controlPr defaultSize="0" autoPict="0">
                <anchor moveWithCells="1" sizeWithCells="1">
                  <from>
                    <xdr:col>7</xdr:col>
                    <xdr:colOff>412750</xdr:colOff>
                    <xdr:row>2</xdr:row>
                    <xdr:rowOff>38100</xdr:rowOff>
                  </from>
                  <to>
                    <xdr:col>8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9" r:id="rId27" name="Spinner 3469">
              <controlPr defaultSize="0" autoPict="0">
                <anchor moveWithCells="1" sizeWithCells="1">
                  <from>
                    <xdr:col>7</xdr:col>
                    <xdr:colOff>412750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0" r:id="rId28" name="Spinner 3470">
              <controlPr defaultSize="0" autoPict="0">
                <anchor moveWithCells="1" sizeWithCells="1">
                  <from>
                    <xdr:col>7</xdr:col>
                    <xdr:colOff>412750</xdr:colOff>
                    <xdr:row>4</xdr:row>
                    <xdr:rowOff>38100</xdr:rowOff>
                  </from>
                  <to>
                    <xdr:col>8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1" r:id="rId29" name="Spinner 3471">
              <controlPr defaultSize="0" autoPict="0">
                <anchor moveWithCells="1" sizeWithCells="1">
                  <from>
                    <xdr:col>7</xdr:col>
                    <xdr:colOff>412750</xdr:colOff>
                    <xdr:row>5</xdr:row>
                    <xdr:rowOff>38100</xdr:rowOff>
                  </from>
                  <to>
                    <xdr:col>8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2" r:id="rId30" name="Spinner 3472">
              <controlPr defaultSize="0" autoPict="0">
                <anchor moveWithCells="1" sizeWithCells="1">
                  <from>
                    <xdr:col>7</xdr:col>
                    <xdr:colOff>412750</xdr:colOff>
                    <xdr:row>6</xdr:row>
                    <xdr:rowOff>38100</xdr:rowOff>
                  </from>
                  <to>
                    <xdr:col>8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3" r:id="rId31" name="Spinner 3473">
              <controlPr defaultSize="0" autoPict="0">
                <anchor moveWithCells="1" sizeWithCells="1">
                  <from>
                    <xdr:col>7</xdr:col>
                    <xdr:colOff>412750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4" r:id="rId32" name="Spinner 3474">
              <controlPr defaultSize="0" autoPict="0">
                <anchor moveWithCells="1" sizeWithCells="1">
                  <from>
                    <xdr:col>7</xdr:col>
                    <xdr:colOff>412750</xdr:colOff>
                    <xdr:row>8</xdr:row>
                    <xdr:rowOff>38100</xdr:rowOff>
                  </from>
                  <to>
                    <xdr:col>8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5" r:id="rId33" name="Spinner 3475">
              <controlPr defaultSize="0" autoPict="0">
                <anchor moveWithCells="1" sizeWithCells="1">
                  <from>
                    <xdr:col>7</xdr:col>
                    <xdr:colOff>412750</xdr:colOff>
                    <xdr:row>9</xdr:row>
                    <xdr:rowOff>38100</xdr:rowOff>
                  </from>
                  <to>
                    <xdr:col>8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6" r:id="rId34" name="Spinner 3476">
              <controlPr defaultSize="0" autoPict="0">
                <anchor moveWithCells="1" sizeWithCells="1">
                  <from>
                    <xdr:col>7</xdr:col>
                    <xdr:colOff>412750</xdr:colOff>
                    <xdr:row>10</xdr:row>
                    <xdr:rowOff>38100</xdr:rowOff>
                  </from>
                  <to>
                    <xdr:col>8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7" r:id="rId35" name="Spinner 3477">
              <controlPr defaultSize="0" autoPict="0">
                <anchor moveWithCells="1" sizeWithCells="1">
                  <from>
                    <xdr:col>8</xdr:col>
                    <xdr:colOff>412750</xdr:colOff>
                    <xdr:row>1</xdr:row>
                    <xdr:rowOff>38100</xdr:rowOff>
                  </from>
                  <to>
                    <xdr:col>9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8" r:id="rId36" name="Spinner 3478">
              <controlPr defaultSize="0" autoPict="0">
                <anchor moveWithCells="1" sizeWithCells="1">
                  <from>
                    <xdr:col>8</xdr:col>
                    <xdr:colOff>412750</xdr:colOff>
                    <xdr:row>2</xdr:row>
                    <xdr:rowOff>38100</xdr:rowOff>
                  </from>
                  <to>
                    <xdr:col>9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9" r:id="rId37" name="Spinner 3479">
              <controlPr defaultSize="0" autoPict="0">
                <anchor moveWithCells="1" sizeWithCells="1">
                  <from>
                    <xdr:col>8</xdr:col>
                    <xdr:colOff>412750</xdr:colOff>
                    <xdr:row>3</xdr:row>
                    <xdr:rowOff>38100</xdr:rowOff>
                  </from>
                  <to>
                    <xdr:col>9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0" r:id="rId38" name="Spinner 3480">
              <controlPr defaultSize="0" autoPict="0">
                <anchor moveWithCells="1" sizeWithCells="1">
                  <from>
                    <xdr:col>8</xdr:col>
                    <xdr:colOff>412750</xdr:colOff>
                    <xdr:row>4</xdr:row>
                    <xdr:rowOff>38100</xdr:rowOff>
                  </from>
                  <to>
                    <xdr:col>9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" r:id="rId39" name="Spinner 3481">
              <controlPr defaultSize="0" autoPict="0">
                <anchor moveWithCells="1" sizeWithCells="1">
                  <from>
                    <xdr:col>8</xdr:col>
                    <xdr:colOff>412750</xdr:colOff>
                    <xdr:row>5</xdr:row>
                    <xdr:rowOff>38100</xdr:rowOff>
                  </from>
                  <to>
                    <xdr:col>9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2" r:id="rId40" name="Spinner 3482">
              <controlPr defaultSize="0" autoPict="0">
                <anchor moveWithCells="1" sizeWithCells="1">
                  <from>
                    <xdr:col>8</xdr:col>
                    <xdr:colOff>412750</xdr:colOff>
                    <xdr:row>6</xdr:row>
                    <xdr:rowOff>38100</xdr:rowOff>
                  </from>
                  <to>
                    <xdr:col>9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3" r:id="rId41" name="Spinner 3483">
              <controlPr defaultSize="0" autoPict="0">
                <anchor moveWithCells="1" sizeWithCells="1">
                  <from>
                    <xdr:col>8</xdr:col>
                    <xdr:colOff>412750</xdr:colOff>
                    <xdr:row>7</xdr:row>
                    <xdr:rowOff>38100</xdr:rowOff>
                  </from>
                  <to>
                    <xdr:col>9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4" r:id="rId42" name="Spinner 3484">
              <controlPr defaultSize="0" autoPict="0">
                <anchor moveWithCells="1" sizeWithCells="1">
                  <from>
                    <xdr:col>8</xdr:col>
                    <xdr:colOff>412750</xdr:colOff>
                    <xdr:row>8</xdr:row>
                    <xdr:rowOff>38100</xdr:rowOff>
                  </from>
                  <to>
                    <xdr:col>9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5" r:id="rId43" name="Spinner 3485">
              <controlPr defaultSize="0" autoPict="0">
                <anchor moveWithCells="1" sizeWithCells="1">
                  <from>
                    <xdr:col>8</xdr:col>
                    <xdr:colOff>412750</xdr:colOff>
                    <xdr:row>9</xdr:row>
                    <xdr:rowOff>38100</xdr:rowOff>
                  </from>
                  <to>
                    <xdr:col>9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6" r:id="rId44" name="Spinner 3486">
              <controlPr defaultSize="0" autoPict="0">
                <anchor moveWithCells="1" sizeWithCells="1">
                  <from>
                    <xdr:col>8</xdr:col>
                    <xdr:colOff>412750</xdr:colOff>
                    <xdr:row>10</xdr:row>
                    <xdr:rowOff>38100</xdr:rowOff>
                  </from>
                  <to>
                    <xdr:col>9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7" r:id="rId45" name="Spinner 3487">
              <controlPr defaultSize="0" autoPict="0">
                <anchor moveWithCells="1" sizeWithCells="1">
                  <from>
                    <xdr:col>9</xdr:col>
                    <xdr:colOff>412750</xdr:colOff>
                    <xdr:row>1</xdr:row>
                    <xdr:rowOff>38100</xdr:rowOff>
                  </from>
                  <to>
                    <xdr:col>10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8" r:id="rId46" name="Spinner 3488">
              <controlPr defaultSize="0" autoPict="0">
                <anchor moveWithCells="1" sizeWithCells="1">
                  <from>
                    <xdr:col>9</xdr:col>
                    <xdr:colOff>412750</xdr:colOff>
                    <xdr:row>2</xdr:row>
                    <xdr:rowOff>38100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9" r:id="rId47" name="Spinner 3489">
              <controlPr defaultSize="0" autoPict="0">
                <anchor moveWithCells="1" sizeWithCells="1">
                  <from>
                    <xdr:col>9</xdr:col>
                    <xdr:colOff>412750</xdr:colOff>
                    <xdr:row>3</xdr:row>
                    <xdr:rowOff>38100</xdr:rowOff>
                  </from>
                  <to>
                    <xdr:col>10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0" r:id="rId48" name="Spinner 3490">
              <controlPr defaultSize="0" autoPict="0">
                <anchor moveWithCells="1" sizeWithCells="1">
                  <from>
                    <xdr:col>9</xdr:col>
                    <xdr:colOff>412750</xdr:colOff>
                    <xdr:row>4</xdr:row>
                    <xdr:rowOff>38100</xdr:rowOff>
                  </from>
                  <to>
                    <xdr:col>10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1" r:id="rId49" name="Spinner 3491">
              <controlPr defaultSize="0" autoPict="0">
                <anchor moveWithCells="1" sizeWithCells="1">
                  <from>
                    <xdr:col>9</xdr:col>
                    <xdr:colOff>412750</xdr:colOff>
                    <xdr:row>5</xdr:row>
                    <xdr:rowOff>38100</xdr:rowOff>
                  </from>
                  <to>
                    <xdr:col>10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2" r:id="rId50" name="Spinner 3492">
              <controlPr defaultSize="0" autoPict="0">
                <anchor moveWithCells="1" sizeWithCells="1">
                  <from>
                    <xdr:col>9</xdr:col>
                    <xdr:colOff>412750</xdr:colOff>
                    <xdr:row>6</xdr:row>
                    <xdr:rowOff>38100</xdr:rowOff>
                  </from>
                  <to>
                    <xdr:col>10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3" r:id="rId51" name="Spinner 3493">
              <controlPr defaultSize="0" autoPict="0">
                <anchor moveWithCells="1" sizeWithCells="1">
                  <from>
                    <xdr:col>9</xdr:col>
                    <xdr:colOff>412750</xdr:colOff>
                    <xdr:row>7</xdr:row>
                    <xdr:rowOff>38100</xdr:rowOff>
                  </from>
                  <to>
                    <xdr:col>10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4" r:id="rId52" name="Spinner 3494">
              <controlPr defaultSize="0" autoPict="0">
                <anchor moveWithCells="1" sizeWithCells="1">
                  <from>
                    <xdr:col>9</xdr:col>
                    <xdr:colOff>412750</xdr:colOff>
                    <xdr:row>8</xdr:row>
                    <xdr:rowOff>38100</xdr:rowOff>
                  </from>
                  <to>
                    <xdr:col>10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5" r:id="rId53" name="Spinner 3495">
              <controlPr defaultSize="0" autoPict="0">
                <anchor moveWithCells="1" sizeWithCells="1">
                  <from>
                    <xdr:col>9</xdr:col>
                    <xdr:colOff>412750</xdr:colOff>
                    <xdr:row>9</xdr:row>
                    <xdr:rowOff>38100</xdr:rowOff>
                  </from>
                  <to>
                    <xdr:col>10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6" r:id="rId54" name="Spinner 3496">
              <controlPr defaultSize="0" autoPict="0">
                <anchor moveWithCells="1" sizeWithCells="1">
                  <from>
                    <xdr:col>9</xdr:col>
                    <xdr:colOff>412750</xdr:colOff>
                    <xdr:row>10</xdr:row>
                    <xdr:rowOff>38100</xdr:rowOff>
                  </from>
                  <to>
                    <xdr:col>10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7" r:id="rId55" name="Spinner 3497">
              <controlPr defaultSize="0" autoPict="0">
                <anchor moveWithCells="1" sizeWithCells="1">
                  <from>
                    <xdr:col>10</xdr:col>
                    <xdr:colOff>412750</xdr:colOff>
                    <xdr:row>1</xdr:row>
                    <xdr:rowOff>38100</xdr:rowOff>
                  </from>
                  <to>
                    <xdr:col>11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8" r:id="rId56" name="Spinner 3498">
              <controlPr defaultSize="0" autoPict="0">
                <anchor moveWithCells="1" sizeWithCells="1">
                  <from>
                    <xdr:col>10</xdr:col>
                    <xdr:colOff>412750</xdr:colOff>
                    <xdr:row>2</xdr:row>
                    <xdr:rowOff>38100</xdr:rowOff>
                  </from>
                  <to>
                    <xdr:col>11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9" r:id="rId57" name="Spinner 3499">
              <controlPr defaultSize="0" autoPict="0">
                <anchor moveWithCells="1" sizeWithCells="1">
                  <from>
                    <xdr:col>10</xdr:col>
                    <xdr:colOff>412750</xdr:colOff>
                    <xdr:row>3</xdr:row>
                    <xdr:rowOff>38100</xdr:rowOff>
                  </from>
                  <to>
                    <xdr:col>11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0" r:id="rId58" name="Spinner 3500">
              <controlPr defaultSize="0" autoPict="0">
                <anchor moveWithCells="1" sizeWithCells="1">
                  <from>
                    <xdr:col>10</xdr:col>
                    <xdr:colOff>412750</xdr:colOff>
                    <xdr:row>4</xdr:row>
                    <xdr:rowOff>38100</xdr:rowOff>
                  </from>
                  <to>
                    <xdr:col>11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1" r:id="rId59" name="Spinner 3501">
              <controlPr defaultSize="0" autoPict="0">
                <anchor moveWithCells="1" sizeWithCells="1">
                  <from>
                    <xdr:col>10</xdr:col>
                    <xdr:colOff>412750</xdr:colOff>
                    <xdr:row>5</xdr:row>
                    <xdr:rowOff>38100</xdr:rowOff>
                  </from>
                  <to>
                    <xdr:col>11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2" r:id="rId60" name="Spinner 3502">
              <controlPr defaultSize="0" autoPict="0">
                <anchor moveWithCells="1" sizeWithCells="1">
                  <from>
                    <xdr:col>10</xdr:col>
                    <xdr:colOff>412750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3" r:id="rId61" name="Spinner 3503">
              <controlPr defaultSize="0" autoPict="0">
                <anchor moveWithCells="1" sizeWithCells="1">
                  <from>
                    <xdr:col>10</xdr:col>
                    <xdr:colOff>412750</xdr:colOff>
                    <xdr:row>7</xdr:row>
                    <xdr:rowOff>38100</xdr:rowOff>
                  </from>
                  <to>
                    <xdr:col>11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4" r:id="rId62" name="Spinner 3504">
              <controlPr defaultSize="0" autoPict="0">
                <anchor moveWithCells="1" sizeWithCells="1">
                  <from>
                    <xdr:col>10</xdr:col>
                    <xdr:colOff>412750</xdr:colOff>
                    <xdr:row>8</xdr:row>
                    <xdr:rowOff>38100</xdr:rowOff>
                  </from>
                  <to>
                    <xdr:col>11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5" r:id="rId63" name="Spinner 3505">
              <controlPr defaultSize="0" autoPict="0">
                <anchor moveWithCells="1" sizeWithCells="1">
                  <from>
                    <xdr:col>10</xdr:col>
                    <xdr:colOff>412750</xdr:colOff>
                    <xdr:row>9</xdr:row>
                    <xdr:rowOff>38100</xdr:rowOff>
                  </from>
                  <to>
                    <xdr:col>11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6" r:id="rId64" name="Spinner 3506">
              <controlPr defaultSize="0" autoPict="0">
                <anchor moveWithCells="1" sizeWithCells="1">
                  <from>
                    <xdr:col>10</xdr:col>
                    <xdr:colOff>412750</xdr:colOff>
                    <xdr:row>10</xdr:row>
                    <xdr:rowOff>38100</xdr:rowOff>
                  </from>
                  <to>
                    <xdr:col>11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7" r:id="rId65" name="Spinner 3507">
              <controlPr defaultSize="0" autoPict="0">
                <anchor moveWithCells="1" sizeWithCells="1">
                  <from>
                    <xdr:col>11</xdr:col>
                    <xdr:colOff>412750</xdr:colOff>
                    <xdr:row>1</xdr:row>
                    <xdr:rowOff>38100</xdr:rowOff>
                  </from>
                  <to>
                    <xdr:col>12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8" r:id="rId66" name="Spinner 3508">
              <controlPr defaultSize="0" autoPict="0">
                <anchor moveWithCells="1" sizeWithCells="1">
                  <from>
                    <xdr:col>11</xdr:col>
                    <xdr:colOff>412750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9" r:id="rId67" name="Spinner 3509">
              <controlPr defaultSize="0" autoPict="0">
                <anchor moveWithCells="1" sizeWithCells="1">
                  <from>
                    <xdr:col>11</xdr:col>
                    <xdr:colOff>412750</xdr:colOff>
                    <xdr:row>3</xdr:row>
                    <xdr:rowOff>38100</xdr:rowOff>
                  </from>
                  <to>
                    <xdr:col>12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0" r:id="rId68" name="Spinner 3510">
              <controlPr defaultSize="0" autoPict="0">
                <anchor moveWithCells="1" sizeWithCells="1">
                  <from>
                    <xdr:col>11</xdr:col>
                    <xdr:colOff>412750</xdr:colOff>
                    <xdr:row>4</xdr:row>
                    <xdr:rowOff>38100</xdr:rowOff>
                  </from>
                  <to>
                    <xdr:col>12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1" r:id="rId69" name="Spinner 3511">
              <controlPr defaultSize="0" autoPict="0">
                <anchor moveWithCells="1" sizeWithCells="1">
                  <from>
                    <xdr:col>11</xdr:col>
                    <xdr:colOff>412750</xdr:colOff>
                    <xdr:row>5</xdr:row>
                    <xdr:rowOff>38100</xdr:rowOff>
                  </from>
                  <to>
                    <xdr:col>12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2" r:id="rId70" name="Spinner 3512">
              <controlPr defaultSize="0" autoPict="0">
                <anchor moveWithCells="1" sizeWithCells="1">
                  <from>
                    <xdr:col>11</xdr:col>
                    <xdr:colOff>412750</xdr:colOff>
                    <xdr:row>6</xdr:row>
                    <xdr:rowOff>38100</xdr:rowOff>
                  </from>
                  <to>
                    <xdr:col>12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3" r:id="rId71" name="Spinner 3513">
              <controlPr defaultSize="0" autoPict="0">
                <anchor moveWithCells="1" sizeWithCells="1">
                  <from>
                    <xdr:col>11</xdr:col>
                    <xdr:colOff>412750</xdr:colOff>
                    <xdr:row>7</xdr:row>
                    <xdr:rowOff>38100</xdr:rowOff>
                  </from>
                  <to>
                    <xdr:col>12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4" r:id="rId72" name="Spinner 3514">
              <controlPr defaultSize="0" autoPict="0">
                <anchor moveWithCells="1" sizeWithCells="1">
                  <from>
                    <xdr:col>11</xdr:col>
                    <xdr:colOff>412750</xdr:colOff>
                    <xdr:row>8</xdr:row>
                    <xdr:rowOff>38100</xdr:rowOff>
                  </from>
                  <to>
                    <xdr:col>12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5" r:id="rId73" name="Spinner 3515">
              <controlPr defaultSize="0" autoPict="0">
                <anchor moveWithCells="1" sizeWithCells="1">
                  <from>
                    <xdr:col>11</xdr:col>
                    <xdr:colOff>412750</xdr:colOff>
                    <xdr:row>9</xdr:row>
                    <xdr:rowOff>38100</xdr:rowOff>
                  </from>
                  <to>
                    <xdr:col>12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6" r:id="rId74" name="Spinner 3516">
              <controlPr defaultSize="0" autoPict="0">
                <anchor moveWithCells="1" sizeWithCells="1">
                  <from>
                    <xdr:col>11</xdr:col>
                    <xdr:colOff>412750</xdr:colOff>
                    <xdr:row>10</xdr:row>
                    <xdr:rowOff>38100</xdr:rowOff>
                  </from>
                  <to>
                    <xdr:col>12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7" r:id="rId75" name="Spinner 3517">
              <controlPr defaultSize="0" autoPict="0">
                <anchor moveWithCells="1" sizeWithCells="1">
                  <from>
                    <xdr:col>12</xdr:col>
                    <xdr:colOff>412750</xdr:colOff>
                    <xdr:row>1</xdr:row>
                    <xdr:rowOff>38100</xdr:rowOff>
                  </from>
                  <to>
                    <xdr:col>13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8" r:id="rId76" name="Spinner 3518">
              <controlPr defaultSize="0" autoPict="0">
                <anchor moveWithCells="1" sizeWithCells="1">
                  <from>
                    <xdr:col>12</xdr:col>
                    <xdr:colOff>412750</xdr:colOff>
                    <xdr:row>2</xdr:row>
                    <xdr:rowOff>38100</xdr:rowOff>
                  </from>
                  <to>
                    <xdr:col>13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9" r:id="rId77" name="Spinner 3519">
              <controlPr defaultSize="0" autoPict="0">
                <anchor moveWithCells="1" sizeWithCells="1">
                  <from>
                    <xdr:col>12</xdr:col>
                    <xdr:colOff>412750</xdr:colOff>
                    <xdr:row>3</xdr:row>
                    <xdr:rowOff>38100</xdr:rowOff>
                  </from>
                  <to>
                    <xdr:col>13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0" r:id="rId78" name="Spinner 3520">
              <controlPr defaultSize="0" autoPict="0">
                <anchor moveWithCells="1" sizeWithCells="1">
                  <from>
                    <xdr:col>12</xdr:col>
                    <xdr:colOff>412750</xdr:colOff>
                    <xdr:row>4</xdr:row>
                    <xdr:rowOff>38100</xdr:rowOff>
                  </from>
                  <to>
                    <xdr:col>13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1" r:id="rId79" name="Spinner 3521">
              <controlPr defaultSize="0" autoPict="0">
                <anchor moveWithCells="1" sizeWithCells="1">
                  <from>
                    <xdr:col>12</xdr:col>
                    <xdr:colOff>412750</xdr:colOff>
                    <xdr:row>5</xdr:row>
                    <xdr:rowOff>38100</xdr:rowOff>
                  </from>
                  <to>
                    <xdr:col>13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2" r:id="rId80" name="Spinner 3522">
              <controlPr defaultSize="0" autoPict="0">
                <anchor moveWithCells="1" sizeWithCells="1">
                  <from>
                    <xdr:col>12</xdr:col>
                    <xdr:colOff>412750</xdr:colOff>
                    <xdr:row>6</xdr:row>
                    <xdr:rowOff>38100</xdr:rowOff>
                  </from>
                  <to>
                    <xdr:col>13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3" r:id="rId81" name="Spinner 3523">
              <controlPr defaultSize="0" autoPict="0">
                <anchor moveWithCells="1" sizeWithCells="1">
                  <from>
                    <xdr:col>12</xdr:col>
                    <xdr:colOff>412750</xdr:colOff>
                    <xdr:row>7</xdr:row>
                    <xdr:rowOff>38100</xdr:rowOff>
                  </from>
                  <to>
                    <xdr:col>13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4" r:id="rId82" name="Spinner 3524">
              <controlPr defaultSize="0" autoPict="0">
                <anchor moveWithCells="1" sizeWithCells="1">
                  <from>
                    <xdr:col>12</xdr:col>
                    <xdr:colOff>412750</xdr:colOff>
                    <xdr:row>8</xdr:row>
                    <xdr:rowOff>38100</xdr:rowOff>
                  </from>
                  <to>
                    <xdr:col>13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5" r:id="rId83" name="Spinner 3525">
              <controlPr defaultSize="0" autoPict="0">
                <anchor moveWithCells="1" sizeWithCells="1">
                  <from>
                    <xdr:col>12</xdr:col>
                    <xdr:colOff>412750</xdr:colOff>
                    <xdr:row>9</xdr:row>
                    <xdr:rowOff>38100</xdr:rowOff>
                  </from>
                  <to>
                    <xdr:col>13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6" r:id="rId84" name="Spinner 3526">
              <controlPr defaultSize="0" autoPict="0">
                <anchor moveWithCells="1" sizeWithCells="1">
                  <from>
                    <xdr:col>12</xdr:col>
                    <xdr:colOff>412750</xdr:colOff>
                    <xdr:row>10</xdr:row>
                    <xdr:rowOff>38100</xdr:rowOff>
                  </from>
                  <to>
                    <xdr:col>13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B5AD-283E-440C-AD18-464A71D0E48A}">
  <sheetPr codeName="Sheet7"/>
  <dimension ref="A1:AF16"/>
  <sheetViews>
    <sheetView workbookViewId="0">
      <selection activeCell="O3" sqref="O3"/>
    </sheetView>
  </sheetViews>
  <sheetFormatPr defaultColWidth="9.1796875" defaultRowHeight="14.5" x14ac:dyDescent="0.35"/>
  <cols>
    <col min="1" max="1" width="9.1796875" style="22"/>
    <col min="2" max="2" width="15.54296875" style="22" bestFit="1" customWidth="1"/>
    <col min="3" max="5" width="9.7265625" style="11" customWidth="1"/>
    <col min="6" max="14" width="10.26953125" style="14" bestFit="1" customWidth="1"/>
    <col min="15" max="15" width="11.26953125" style="15" bestFit="1" customWidth="1"/>
    <col min="16" max="17" width="9.1796875" style="16"/>
    <col min="18" max="18" width="10.1796875" style="22" bestFit="1" customWidth="1"/>
    <col min="19" max="19" width="9.1796875" style="22"/>
    <col min="20" max="21" width="9.1796875" style="16"/>
    <col min="22" max="22" width="13.1796875" style="16" bestFit="1" customWidth="1"/>
    <col min="23" max="23" width="11.1796875" style="16" bestFit="1" customWidth="1"/>
    <col min="24" max="16384" width="9.1796875" style="16"/>
  </cols>
  <sheetData>
    <row r="1" spans="1:32" x14ac:dyDescent="0.35">
      <c r="A1" s="41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26</v>
      </c>
      <c r="G1" s="41" t="s">
        <v>27</v>
      </c>
      <c r="H1" s="41" t="s">
        <v>28</v>
      </c>
      <c r="I1" s="41" t="s">
        <v>33</v>
      </c>
      <c r="J1" s="41" t="s">
        <v>34</v>
      </c>
      <c r="K1" s="41" t="s">
        <v>29</v>
      </c>
      <c r="L1" s="41" t="s">
        <v>30</v>
      </c>
      <c r="M1" s="41" t="s">
        <v>31</v>
      </c>
      <c r="N1" s="41" t="s">
        <v>17</v>
      </c>
      <c r="O1" s="41" t="s">
        <v>19</v>
      </c>
      <c r="R1" s="41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35">
      <c r="A2" s="22">
        <v>1</v>
      </c>
      <c r="B2" s="22" t="s">
        <v>5</v>
      </c>
      <c r="C2" s="10" t="s">
        <v>32</v>
      </c>
      <c r="D2" s="10" t="s">
        <v>32</v>
      </c>
      <c r="E2" s="10" t="s">
        <v>32</v>
      </c>
      <c r="F2" s="12"/>
      <c r="G2" s="12"/>
      <c r="H2" s="12"/>
      <c r="I2" s="12"/>
      <c r="J2" s="12"/>
      <c r="K2" s="12"/>
      <c r="L2" s="12"/>
      <c r="M2" s="12"/>
      <c r="N2" s="13">
        <v>125</v>
      </c>
      <c r="O2" s="14">
        <v>1390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4">
      <c r="A3" s="22">
        <v>2</v>
      </c>
      <c r="B3" s="22" t="s">
        <v>6</v>
      </c>
      <c r="C3" s="10" t="s">
        <v>32</v>
      </c>
      <c r="D3" s="10" t="s">
        <v>32</v>
      </c>
      <c r="E3" s="10" t="s">
        <v>32</v>
      </c>
      <c r="F3" s="12"/>
      <c r="G3" s="12"/>
      <c r="H3" s="12"/>
      <c r="I3" s="12"/>
      <c r="J3" s="12"/>
      <c r="K3" s="12"/>
      <c r="L3" s="12"/>
      <c r="M3" s="12"/>
      <c r="N3" s="13">
        <v>125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4">
      <c r="A4" s="22">
        <v>3</v>
      </c>
      <c r="B4" s="22" t="s">
        <v>7</v>
      </c>
      <c r="C4" s="10" t="s">
        <v>32</v>
      </c>
      <c r="D4" s="10" t="s">
        <v>32</v>
      </c>
      <c r="E4" s="10" t="s">
        <v>32</v>
      </c>
      <c r="F4" s="12"/>
      <c r="G4" s="12"/>
      <c r="H4" s="12"/>
      <c r="I4" s="12"/>
      <c r="J4" s="12"/>
      <c r="K4" s="12"/>
      <c r="L4" s="12"/>
      <c r="M4" s="12"/>
      <c r="N4" s="13"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35">
      <c r="A5" s="22">
        <v>4</v>
      </c>
      <c r="B5" s="22" t="s">
        <v>8</v>
      </c>
      <c r="C5" s="10" t="s">
        <v>32</v>
      </c>
      <c r="D5" s="10" t="s">
        <v>32</v>
      </c>
      <c r="E5" s="10" t="s">
        <v>32</v>
      </c>
      <c r="F5" s="12"/>
      <c r="G5" s="12"/>
      <c r="H5" s="12"/>
      <c r="I5" s="12"/>
      <c r="J5" s="12"/>
      <c r="K5" s="12"/>
      <c r="L5" s="12"/>
      <c r="M5" s="12"/>
      <c r="N5" s="13">
        <v>125</v>
      </c>
      <c r="R5" s="22" t="s">
        <v>33</v>
      </c>
      <c r="S5" s="22">
        <v>12</v>
      </c>
    </row>
    <row r="6" spans="1:32" ht="32.25" customHeight="1" x14ac:dyDescent="0.35">
      <c r="A6" s="22">
        <v>5</v>
      </c>
      <c r="B6" s="22" t="s">
        <v>9</v>
      </c>
      <c r="C6" s="10" t="s">
        <v>32</v>
      </c>
      <c r="D6" s="10" t="s">
        <v>32</v>
      </c>
      <c r="E6" s="10" t="s">
        <v>32</v>
      </c>
      <c r="F6" s="12">
        <v>2</v>
      </c>
      <c r="G6" s="12"/>
      <c r="H6" s="12"/>
      <c r="I6" s="12"/>
      <c r="J6" s="12"/>
      <c r="K6" s="12"/>
      <c r="L6" s="12"/>
      <c r="M6" s="12"/>
      <c r="N6" s="13">
        <v>265</v>
      </c>
      <c r="R6" s="22" t="s">
        <v>34</v>
      </c>
      <c r="S6" s="22">
        <v>25</v>
      </c>
    </row>
    <row r="7" spans="1:32" ht="32.25" customHeight="1" x14ac:dyDescent="0.35">
      <c r="A7" s="22">
        <v>6</v>
      </c>
      <c r="B7" s="22" t="s">
        <v>10</v>
      </c>
      <c r="C7" s="10" t="s">
        <v>32</v>
      </c>
      <c r="D7" s="10" t="s">
        <v>32</v>
      </c>
      <c r="E7" s="10" t="s">
        <v>32</v>
      </c>
      <c r="F7" s="12"/>
      <c r="G7" s="12"/>
      <c r="H7" s="12"/>
      <c r="I7" s="12"/>
      <c r="J7" s="12"/>
      <c r="K7" s="12"/>
      <c r="L7" s="12"/>
      <c r="M7" s="12"/>
      <c r="N7" s="13">
        <v>125</v>
      </c>
      <c r="R7" s="22" t="s">
        <v>29</v>
      </c>
      <c r="S7" s="22">
        <v>10</v>
      </c>
    </row>
    <row r="8" spans="1:32" ht="32.25" customHeight="1" x14ac:dyDescent="0.35">
      <c r="A8" s="22">
        <v>7</v>
      </c>
      <c r="B8" s="22" t="s">
        <v>21</v>
      </c>
      <c r="C8" s="10" t="s">
        <v>32</v>
      </c>
      <c r="D8" s="10" t="s">
        <v>32</v>
      </c>
      <c r="E8" s="10" t="s">
        <v>32</v>
      </c>
      <c r="F8" s="12"/>
      <c r="G8" s="12"/>
      <c r="H8" s="12"/>
      <c r="I8" s="12"/>
      <c r="J8" s="12"/>
      <c r="K8" s="12"/>
      <c r="L8" s="12"/>
      <c r="M8" s="12"/>
      <c r="N8" s="13">
        <v>125</v>
      </c>
      <c r="R8" s="22" t="s">
        <v>30</v>
      </c>
      <c r="S8" s="22">
        <v>15</v>
      </c>
    </row>
    <row r="9" spans="1:32" ht="32.25" customHeight="1" x14ac:dyDescent="0.35">
      <c r="A9" s="22">
        <v>8</v>
      </c>
      <c r="B9" s="22" t="s">
        <v>11</v>
      </c>
      <c r="C9" s="10" t="s">
        <v>32</v>
      </c>
      <c r="D9" s="10" t="s">
        <v>32</v>
      </c>
      <c r="E9" s="10" t="s">
        <v>32</v>
      </c>
      <c r="F9" s="12"/>
      <c r="G9" s="12"/>
      <c r="H9" s="12"/>
      <c r="I9" s="12"/>
      <c r="J9" s="12"/>
      <c r="K9" s="12"/>
      <c r="L9" s="12"/>
      <c r="M9" s="12"/>
      <c r="N9" s="13">
        <v>125</v>
      </c>
      <c r="R9" s="22" t="s">
        <v>31</v>
      </c>
      <c r="S9" s="22">
        <v>12</v>
      </c>
    </row>
    <row r="10" spans="1:32" ht="32.25" customHeight="1" x14ac:dyDescent="0.35">
      <c r="A10" s="22">
        <v>9</v>
      </c>
      <c r="B10" s="22" t="s">
        <v>12</v>
      </c>
      <c r="C10" s="10" t="s">
        <v>32</v>
      </c>
      <c r="D10" s="10" t="s">
        <v>32</v>
      </c>
      <c r="E10" s="10" t="s">
        <v>32</v>
      </c>
      <c r="F10" s="12"/>
      <c r="G10" s="12"/>
      <c r="H10" s="12"/>
      <c r="I10" s="12"/>
      <c r="J10" s="12"/>
      <c r="K10" s="12"/>
      <c r="L10" s="12"/>
      <c r="M10" s="12"/>
      <c r="N10" s="13">
        <v>125</v>
      </c>
    </row>
    <row r="11" spans="1:32" ht="32.25" customHeight="1" x14ac:dyDescent="0.35">
      <c r="A11" s="22">
        <v>10</v>
      </c>
      <c r="B11" s="22" t="s">
        <v>13</v>
      </c>
      <c r="C11" s="10" t="s">
        <v>32</v>
      </c>
      <c r="D11" s="10" t="s">
        <v>32</v>
      </c>
      <c r="E11" s="10" t="s">
        <v>32</v>
      </c>
      <c r="F11" s="12"/>
      <c r="G11" s="12"/>
      <c r="H11" s="12"/>
      <c r="I11" s="12"/>
      <c r="J11" s="12"/>
      <c r="K11" s="12"/>
      <c r="L11" s="12"/>
      <c r="M11" s="12"/>
      <c r="N11" s="13">
        <v>125</v>
      </c>
    </row>
    <row r="12" spans="1:32" ht="32.25" customHeight="1" x14ac:dyDescent="0.35">
      <c r="A12" s="22">
        <v>11</v>
      </c>
      <c r="B12" s="22" t="s">
        <v>36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">
        <v>35</v>
      </c>
    </row>
    <row r="13" spans="1:32" ht="32.25" customHeight="1" x14ac:dyDescent="0.35">
      <c r="A13" s="22">
        <v>12</v>
      </c>
      <c r="B13" s="22" t="s">
        <v>36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">
        <v>35</v>
      </c>
    </row>
    <row r="14" spans="1:32" ht="32.25" customHeight="1" x14ac:dyDescent="0.35">
      <c r="A14" s="22">
        <v>13</v>
      </c>
      <c r="B14" s="22" t="s">
        <v>36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35">
      <c r="A15" s="22">
        <v>14</v>
      </c>
      <c r="B15" s="22" t="s">
        <v>36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35">
      <c r="A16" s="22">
        <v>15</v>
      </c>
      <c r="B16" s="22" t="s">
        <v>36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Boarder-List</vt:lpstr>
      <vt:lpstr>BoarderDateWise-Sales</vt:lpstr>
      <vt:lpstr>Boarder-Sales</vt:lpstr>
      <vt:lpstr>Mess-Offs</vt:lpstr>
      <vt:lpstr>Leave-Register</vt:lpstr>
      <vt:lpstr>Today_02-02-25</vt:lpstr>
      <vt:lpstr>01-02-25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Surja Sanyal</cp:lastModifiedBy>
  <cp:lastPrinted>2025-01-29T15:03:15Z</cp:lastPrinted>
  <dcterms:created xsi:type="dcterms:W3CDTF">2015-06-05T18:17:20Z</dcterms:created>
  <dcterms:modified xsi:type="dcterms:W3CDTF">2025-02-05T08:14:32Z</dcterms:modified>
</cp:coreProperties>
</file>