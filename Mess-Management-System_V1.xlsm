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Data\Dynamic Data\PhD @ IIT Guwahati and IIT BHU\General Work\"/>
    </mc:Choice>
  </mc:AlternateContent>
  <xr:revisionPtr revIDLastSave="0" documentId="13_ncr:1_{EEB0E3C4-8B81-4051-AB38-1AC27BD11D23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Boarder-List" sheetId="2" r:id="rId1"/>
    <sheet name="BoarderDateWise-Sales" sheetId="17" r:id="rId2"/>
    <sheet name="Boarder-Sales" sheetId="16" r:id="rId3"/>
    <sheet name="Today_07-01-25" sheetId="1" r:id="rId4"/>
    <sheet name="06-01-25" sheetId="23" r:id="rId5"/>
    <sheet name="05-01-25" sheetId="22" r:id="rId6"/>
    <sheet name="04-01-25" sheetId="21" r:id="rId7"/>
    <sheet name="03-01-25" sheetId="20" r:id="rId8"/>
    <sheet name="02-01-25" sheetId="19" r:id="rId9"/>
    <sheet name="01-01-25" sheetId="1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2" i="1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P3" i="1"/>
  <c r="P4" i="1"/>
  <c r="P5" i="1"/>
  <c r="A3" i="1" a="1"/>
  <c r="A3" i="1" s="1"/>
  <c r="A4" i="1" a="1"/>
  <c r="A4" i="1" s="1"/>
  <c r="A5" i="1" a="1"/>
  <c r="A5" i="1" s="1"/>
  <c r="B5" i="1" s="1"/>
  <c r="K5" i="1" s="1"/>
  <c r="A6" i="1" a="1"/>
  <c r="A6" i="1" s="1"/>
  <c r="B6" i="1" s="1"/>
  <c r="K6" i="1" s="1"/>
  <c r="A7" i="1" a="1"/>
  <c r="A7" i="1" s="1"/>
  <c r="B7" i="1" s="1"/>
  <c r="K7" i="1" s="1"/>
  <c r="A8" i="1" a="1"/>
  <c r="A8" i="1" s="1"/>
  <c r="B8" i="1" s="1"/>
  <c r="K8" i="1" s="1"/>
  <c r="A9" i="1" a="1"/>
  <c r="A9" i="1" s="1"/>
  <c r="B9" i="1" s="1"/>
  <c r="K9" i="1" s="1"/>
  <c r="A10" i="1" a="1"/>
  <c r="A10" i="1" s="1"/>
  <c r="B10" i="1" s="1"/>
  <c r="K10" i="1" s="1"/>
  <c r="A11" i="1" a="1"/>
  <c r="A11" i="1" s="1"/>
  <c r="A2" i="1" a="1"/>
  <c r="A2" i="1" s="1"/>
  <c r="A12" i="17" a="1"/>
  <c r="A12" i="1" a="1"/>
  <c r="A12" i="16" a="1"/>
  <c r="D8" i="17" l="1"/>
  <c r="B4" i="1"/>
  <c r="D10" i="17"/>
  <c r="D9" i="17"/>
  <c r="D6" i="17"/>
  <c r="B11" i="1"/>
  <c r="B3" i="1"/>
  <c r="B2" i="1"/>
  <c r="D7" i="17"/>
  <c r="D5" i="17"/>
  <c r="A12" i="17"/>
  <c r="B12" i="17" s="1"/>
  <c r="A12" i="16"/>
  <c r="B12" i="16" s="1"/>
  <c r="A12" i="1"/>
  <c r="A13" i="1" a="1"/>
  <c r="A13" i="17" a="1"/>
  <c r="A13" i="16" a="1"/>
  <c r="C8" i="17"/>
  <c r="C6" i="17"/>
  <c r="C10" i="17"/>
  <c r="C9" i="17"/>
  <c r="C5" i="17"/>
  <c r="C7" i="17"/>
  <c r="K4" i="1" l="1"/>
  <c r="D4" i="17" s="1"/>
  <c r="K3" i="1"/>
  <c r="D3" i="17" s="1"/>
  <c r="K11" i="1"/>
  <c r="D11" i="17" s="1"/>
  <c r="K2" i="1"/>
  <c r="D2" i="17" s="1"/>
  <c r="B12" i="1"/>
  <c r="C8" i="16"/>
  <c r="C9" i="16"/>
  <c r="C7" i="16"/>
  <c r="C5" i="16"/>
  <c r="C6" i="16"/>
  <c r="C10" i="16"/>
  <c r="A13" i="17"/>
  <c r="B13" i="17" s="1"/>
  <c r="A13" i="16"/>
  <c r="B13" i="16" s="1"/>
  <c r="A13" i="1"/>
  <c r="A14" i="17" a="1"/>
  <c r="A14" i="16" a="1"/>
  <c r="A14" i="1" a="1"/>
  <c r="C3" i="17"/>
  <c r="C11" i="17"/>
  <c r="C2" i="17"/>
  <c r="C4" i="17"/>
  <c r="C11" i="16" l="1"/>
  <c r="C4" i="16"/>
  <c r="C3" i="16"/>
  <c r="K12" i="1"/>
  <c r="D12" i="17" s="1"/>
  <c r="C2" i="16"/>
  <c r="B13" i="1"/>
  <c r="A14" i="17"/>
  <c r="B14" i="17" s="1"/>
  <c r="A14" i="16"/>
  <c r="B14" i="16" s="1"/>
  <c r="A14" i="1"/>
  <c r="A15" i="17" a="1"/>
  <c r="A15" i="1" a="1"/>
  <c r="A15" i="16" a="1"/>
  <c r="C12" i="17"/>
  <c r="K13" i="1" l="1"/>
  <c r="D13" i="17" s="1"/>
  <c r="B14" i="1"/>
  <c r="C12" i="16"/>
  <c r="A15" i="17"/>
  <c r="B15" i="17" s="1"/>
  <c r="A15" i="16"/>
  <c r="B15" i="16" s="1"/>
  <c r="A15" i="1"/>
  <c r="A16" i="16" a="1"/>
  <c r="A16" i="17" a="1"/>
  <c r="A16" i="1" a="1"/>
  <c r="C13" i="17"/>
  <c r="K14" i="1" l="1"/>
  <c r="D14" i="17" s="1"/>
  <c r="B15" i="1"/>
  <c r="C13" i="16"/>
  <c r="A16" i="17"/>
  <c r="B16" i="17" s="1"/>
  <c r="A16" i="16"/>
  <c r="B16" i="16" s="1"/>
  <c r="A16" i="1"/>
  <c r="B16" i="1" s="1"/>
  <c r="K16" i="1" s="1"/>
  <c r="C14" i="17"/>
  <c r="K15" i="1" l="1"/>
  <c r="D15" i="17" s="1"/>
  <c r="C14" i="16"/>
  <c r="D16" i="17"/>
  <c r="C16" i="17"/>
  <c r="C15" i="17"/>
  <c r="C16" i="16" l="1"/>
  <c r="C15" i="16"/>
  <c r="L2" i="1"/>
  <c r="D2" i="1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<sst xmlns="http://schemas.openxmlformats.org/spreadsheetml/2006/main" count="403" uniqueCount="50">
  <si>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</si>
  <si>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</si>
  <si>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</si>
  <si>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</si>
  <si>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</si>
  <si>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</si>
  <si>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</si>
  <si>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</si>
  <si>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</si>
  <si>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</si>
  <si>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</si>
  <si>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</si>
  <si>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</si>
  <si>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</si>
  <si>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√</t>
  </si>
  <si>
    <t>X</t>
  </si>
  <si>
    <t>Item</t>
  </si>
  <si>
    <t>Price</t>
  </si>
  <si>
    <t>Item &amp; Price</t>
  </si>
  <si>
    <t>Extra Item 1</t>
  </si>
  <si>
    <t>Extra Item 2</t>
  </si>
  <si>
    <t>Extra Item 3</t>
  </si>
  <si>
    <t>Extra Item 4</t>
  </si>
  <si>
    <t>Extra Item 5</t>
  </si>
  <si>
    <t>Total Price</t>
  </si>
  <si>
    <t>Meal</t>
  </si>
  <si>
    <t>Grand Total</t>
  </si>
  <si>
    <t>-</t>
  </si>
  <si>
    <t>Total</t>
  </si>
  <si>
    <t>Surja Sanyal</t>
  </si>
  <si>
    <t>**Unoccupied**</t>
  </si>
  <si>
    <t>Item4 - Rs. 40</t>
  </si>
  <si>
    <t>Present</t>
  </si>
  <si>
    <t>Absent</t>
  </si>
  <si>
    <t>Description</t>
  </si>
  <si>
    <t>Symbol</t>
  </si>
  <si>
    <t>Item3 - Rs. 30</t>
  </si>
  <si>
    <t>Item1 - Rs. 10</t>
  </si>
  <si>
    <t>Chicken</t>
  </si>
  <si>
    <t>Shweta</t>
  </si>
  <si>
    <t>Pratik Sir</t>
  </si>
  <si>
    <t>Fish</t>
  </si>
  <si>
    <t>Paneer</t>
  </si>
  <si>
    <t>Egg X 2</t>
  </si>
  <si>
    <t>Tea</t>
  </si>
  <si>
    <t>Coffee</t>
  </si>
  <si>
    <t>Milk</t>
  </si>
  <si>
    <t>Egg X 1</t>
  </si>
  <si>
    <t>✔</t>
  </si>
  <si>
    <t>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</si>
</sst>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14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2" xfId="0" applyBorder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6" xfId="0" applyFont="1" applyBorder="1"/>
    <xf numFmtId="0" fontId="0" fillId="0" borderId="8" xfId="0" applyBorder="1"/>
    <xf numFmtId="0" fontId="1" fillId="2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Font="1"/>
    <xf numFmtId="0" fontId="0" fillId="0" borderId="1" xfId="0" applyFont="1" applyBorder="1" applyAlignment="1">
      <alignment horizontal="right"/>
    </xf>
    <xf numFmtId="0" fontId="0" fillId="0" borderId="1" xfId="0" applyFont="1" applyBorder="1"/>
    <xf numFmtId="0" fontId="4" fillId="0" borderId="1" xfId="0" applyFont="1" applyBorder="1" applyAlignment="1">
      <alignment horizontal="center"/>
    </xf>
  </cellXfs>
  <cellStyles count="1">
    <cellStyle name="Normal" xfId="0" builtinId="0"/>
  </cellStyles>
  <dxfs count="3"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F71-A5D4-4D4D-8228-40AFE1D0B416}">
  <sheetPr codeName="Sheet2"/>
  <dimension ref="A1:B16"/>
  <sheetViews>
    <sheetView workbookViewId="0">
      <selection activeCell="B14" sqref="B14"/>
    </sheetView>
  </sheetViews>
  <sheetFormatPr defaultRowHeight="15" x14ac:dyDescent="0.25"/>
  <cols>
    <col min="1" max="1" width="8.7109375" style="1"/>
    <col min="2" max="2" width="12.42578125" style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1">
        <v>1</v>
      </c>
      <c r="B2" s="1" t="s">
        <v>5</v>
      </c>
    </row>
    <row r="3" spans="1:2" x14ac:dyDescent="0.25">
      <c r="A3" s="1">
        <v>2</v>
      </c>
      <c r="B3" s="1" t="s">
        <v>6</v>
      </c>
    </row>
    <row r="4" spans="1:2" x14ac:dyDescent="0.25">
      <c r="A4" s="1">
        <v>3</v>
      </c>
      <c r="B4" s="1" t="s">
        <v>7</v>
      </c>
    </row>
    <row r="5" spans="1:2" x14ac:dyDescent="0.25">
      <c r="A5" s="1">
        <v>4</v>
      </c>
      <c r="B5" s="1" t="s">
        <v>8</v>
      </c>
    </row>
    <row r="6" spans="1:2" x14ac:dyDescent="0.25">
      <c r="A6" s="1">
        <v>5</v>
      </c>
      <c r="B6" s="1" t="s">
        <v>9</v>
      </c>
    </row>
    <row r="7" spans="1:2" x14ac:dyDescent="0.25">
      <c r="A7" s="1">
        <v>6</v>
      </c>
      <c r="B7" s="1" t="s">
        <v>10</v>
      </c>
    </row>
    <row r="8" spans="1:2" x14ac:dyDescent="0.25">
      <c r="A8" s="1">
        <v>7</v>
      </c>
      <c r="B8" s="1" t="s">
        <v>29</v>
      </c>
    </row>
    <row r="9" spans="1:2" x14ac:dyDescent="0.25">
      <c r="A9" s="1">
        <v>8</v>
      </c>
      <c r="B9" s="1" t="s">
        <v>11</v>
      </c>
    </row>
    <row r="10" spans="1:2" x14ac:dyDescent="0.25">
      <c r="A10" s="1">
        <v>9</v>
      </c>
      <c r="B10" s="1" t="s">
        <v>12</v>
      </c>
    </row>
    <row r="11" spans="1:2" x14ac:dyDescent="0.25">
      <c r="A11" s="1">
        <v>10</v>
      </c>
      <c r="B11" s="1" t="s">
        <v>13</v>
      </c>
    </row>
    <row r="12" spans="1:2" x14ac:dyDescent="0.25">
      <c r="A12" s="1">
        <v>11</v>
      </c>
      <c r="B12" s="1" t="s">
        <v>39</v>
      </c>
    </row>
    <row r="13" spans="1:2" x14ac:dyDescent="0.25">
      <c r="A13" s="1">
        <v>12</v>
      </c>
      <c r="B13" s="1" t="s">
        <v>40</v>
      </c>
    </row>
    <row r="14" spans="1:2" x14ac:dyDescent="0.25">
      <c r="A14" s="1">
        <v>13</v>
      </c>
    </row>
    <row r="15" spans="1:2" x14ac:dyDescent="0.25">
      <c r="A15" s="1">
        <v>14</v>
      </c>
    </row>
    <row r="16" spans="1:2" x14ac:dyDescent="0.25">
      <c r="A16" s="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C5138-3BD7-4409-8A20-193E346262C4}">
  <sheetPr codeName="Sheet17"/>
  <dimension ref="A1:N16"/>
  <sheetViews>
    <sheetView workbookViewId="0"/>
  </sheetViews>
  <sheetFormatPr defaultRowHeight="15" x14ac:dyDescent="0.25"/>
  <cols>
    <col min="1" max="1" width="9.140625" style="1"/>
    <col min="2" max="2" width="15.5703125" style="1" bestFit="1" customWidth="1"/>
    <col min="3" max="3" width="8.5703125" style="8" bestFit="1" customWidth="1"/>
    <col min="4" max="4" width="10.42578125" style="1" bestFit="1" customWidth="1"/>
    <col min="5" max="10" width="10.28515625" style="24" bestFit="1" customWidth="1"/>
    <col min="11" max="14" width="9.140625" style="22"/>
  </cols>
  <sheetData>
    <row r="1" spans="1:14" x14ac:dyDescent="0.25">
      <c r="A1" s="2" t="s">
        <v>0</v>
      </c>
      <c r="B1" s="2" t="s">
        <v>1</v>
      </c>
      <c r="C1" s="2" t="s">
        <v>28</v>
      </c>
      <c r="D1" s="6">
        <f ca="1">TODAY()</f>
        <v>45686</v>
      </c>
      <c r="E1" s="10">
        <v>45809</v>
      </c>
      <c r="F1" s="10">
        <v>45778</v>
      </c>
      <c r="G1" s="10">
        <v>45748</v>
      </c>
      <c r="H1" s="10">
        <v>45717</v>
      </c>
      <c r="I1" s="10">
        <v>45689</v>
      </c>
      <c r="J1" s="10">
        <v>45658</v>
      </c>
      <c r="K1" s="9"/>
      <c r="L1" s="9"/>
      <c r="M1" s="9"/>
      <c r="N1" s="9"/>
    </row>
    <row r="2" spans="1:1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7">
        <f ca="1">IFERROR(IF(B2 &lt;&gt; "**Unoccupied**", SUM(INDIRECT(ADDRESS(ROW(), COLUMN() + 1)):INDEX(2:2,COUNTA($1:$1) + 1)), "-"), 0)</f>
        <v>200</v>
      </c>
      <c r="D2" s="4">
        <f ca="1">VLOOKUP(A2,'Today_07-01-25'!$A:$K,11,0)</f>
        <v>125</v>
      </c>
      <c r="E2" s="23">
        <v>75</v>
      </c>
      <c r="F2" s="23">
        <v>0</v>
      </c>
      <c r="G2" s="23">
        <v>0</v>
      </c>
      <c r="H2" s="23">
        <v>0</v>
      </c>
      <c r="I2" s="23">
        <v>0</v>
      </c>
      <c r="J2" s="23">
        <v>0</v>
      </c>
    </row>
    <row r="3" spans="1:1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7">
        <f ca="1">IFERROR(IF(B3 &lt;&gt; "**Unoccupied**", SUM(INDIRECT(ADDRESS(ROW(), COLUMN() + 1)):INDEX(3:3,COUNTA($1:$1) + 1)), "-"), 0)</f>
        <v>250</v>
      </c>
      <c r="D3" s="4">
        <f ca="1">VLOOKUP(A3,'Today_07-01-25'!$A:$K,11,0)</f>
        <v>125</v>
      </c>
      <c r="E3" s="23">
        <v>125</v>
      </c>
      <c r="F3" s="23">
        <v>0</v>
      </c>
      <c r="G3" s="23">
        <v>0</v>
      </c>
      <c r="H3" s="23">
        <v>0</v>
      </c>
      <c r="I3" s="23">
        <v>0</v>
      </c>
      <c r="J3" s="23">
        <v>0</v>
      </c>
    </row>
    <row r="4" spans="1:1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7">
        <f ca="1">IFERROR(IF(B4 &lt;&gt; "**Unoccupied**", SUM(INDIRECT(ADDRESS(ROW(), COLUMN() + 1)):INDEX(4:4,COUNTA($1:$1) + 1)), "-"), 0)</f>
        <v>285</v>
      </c>
      <c r="D4" s="4">
        <f ca="1">VLOOKUP(A4,'Today_07-01-25'!$A:$K,11,0)</f>
        <v>75</v>
      </c>
      <c r="E4" s="23">
        <v>125</v>
      </c>
      <c r="F4" s="23">
        <v>0</v>
      </c>
      <c r="G4" s="23">
        <v>0</v>
      </c>
      <c r="H4" s="23">
        <v>60</v>
      </c>
      <c r="I4" s="23">
        <v>0</v>
      </c>
      <c r="J4" s="23">
        <v>25</v>
      </c>
    </row>
    <row r="5" spans="1:1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7">
        <f ca="1">IFERROR(IF(B5 &lt;&gt; "**Unoccupied**", SUM(INDIRECT(ADDRESS(ROW(), COLUMN() + 1)):INDEX(5:5,COUNTA($1:$1) + 1)), "-"), 0)</f>
        <v>275</v>
      </c>
      <c r="D5" s="4">
        <f ca="1">VLOOKUP(A5,'Today_07-01-25'!$A:$K,11,0)</f>
        <v>75</v>
      </c>
      <c r="E5" s="23">
        <v>125</v>
      </c>
      <c r="F5" s="23">
        <v>0</v>
      </c>
      <c r="G5" s="23">
        <v>50</v>
      </c>
      <c r="H5" s="23">
        <v>25</v>
      </c>
      <c r="I5" s="23">
        <v>0</v>
      </c>
      <c r="J5" s="23">
        <v>0</v>
      </c>
    </row>
    <row r="6" spans="1:1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7">
        <f ca="1">IFERROR(IF(B6 &lt;&gt; "**Unoccupied**", SUM(INDIRECT(ADDRESS(ROW(), COLUMN() + 1)):INDEX(6:6,COUNTA($1:$1) + 1)), "-"), 0)</f>
        <v>345</v>
      </c>
      <c r="D6" s="4">
        <f ca="1">VLOOKUP(A6,'Today_07-01-25'!$A:$K,11,0)</f>
        <v>125</v>
      </c>
      <c r="E6" s="23">
        <v>125</v>
      </c>
      <c r="F6" s="23">
        <v>0</v>
      </c>
      <c r="G6" s="23">
        <v>30</v>
      </c>
      <c r="H6" s="23">
        <v>0</v>
      </c>
      <c r="I6" s="23">
        <v>65</v>
      </c>
      <c r="J6" s="23">
        <v>0</v>
      </c>
    </row>
    <row r="7" spans="1:1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7">
        <f ca="1">IFERROR(IF(B7 &lt;&gt; "**Unoccupied**", SUM(INDIRECT(ADDRESS(ROW(), COLUMN() + 1)):INDEX(7:7,COUNTA($1:$1) + 1)), "-"), 0)</f>
        <v>205</v>
      </c>
      <c r="D7" s="4">
        <f ca="1">VLOOKUP(A7,'Today_07-01-25'!$A:$K,11,0)</f>
        <v>100</v>
      </c>
      <c r="E7" s="23">
        <v>75</v>
      </c>
      <c r="F7" s="23">
        <v>0</v>
      </c>
      <c r="G7" s="23">
        <v>0</v>
      </c>
      <c r="H7" s="23">
        <v>30</v>
      </c>
      <c r="I7" s="23">
        <v>0</v>
      </c>
      <c r="J7" s="23">
        <v>0</v>
      </c>
    </row>
    <row r="8" spans="1:1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7">
        <f ca="1">IFERROR(IF(B8 &lt;&gt; "**Unoccupied**", SUM(INDIRECT(ADDRESS(ROW(), COLUMN() + 1)):INDEX(8:8,COUNTA($1:$1) + 1)), "-"), 0)</f>
        <v>325</v>
      </c>
      <c r="D8" s="4">
        <f ca="1">VLOOKUP(A8,'Today_07-01-25'!$A:$K,11,0)</f>
        <v>125</v>
      </c>
      <c r="E8" s="23">
        <v>125</v>
      </c>
      <c r="F8" s="23">
        <v>0</v>
      </c>
      <c r="G8" s="23">
        <v>0</v>
      </c>
      <c r="H8" s="23">
        <v>0</v>
      </c>
      <c r="I8" s="23">
        <v>75</v>
      </c>
      <c r="J8" s="23">
        <v>0</v>
      </c>
    </row>
    <row r="9" spans="1:1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7">
        <f ca="1">IFERROR(IF(B9 &lt;&gt; "**Unoccupied**", SUM(INDIRECT(ADDRESS(ROW(), COLUMN() + 1)):INDEX(9:9,COUNTA($1:$1) + 1)), "-"), 0)</f>
        <v>250</v>
      </c>
      <c r="D9" s="4">
        <f ca="1">VLOOKUP(A9,'Today_07-01-25'!$A:$K,11,0)</f>
        <v>125</v>
      </c>
      <c r="E9" s="23">
        <v>75</v>
      </c>
      <c r="F9" s="23">
        <v>0</v>
      </c>
      <c r="G9" s="23">
        <v>0</v>
      </c>
      <c r="H9" s="23">
        <v>0</v>
      </c>
      <c r="I9" s="23">
        <v>0</v>
      </c>
      <c r="J9" s="23">
        <v>50</v>
      </c>
    </row>
    <row r="10" spans="1:1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7">
        <f ca="1">IFERROR(IF(B10 &lt;&gt; "**Unoccupied**", SUM(INDIRECT(ADDRESS(ROW(), COLUMN() + 1)):INDEX(10:10,COUNTA($1:$1) + 1)), "-"), 0)</f>
        <v>315</v>
      </c>
      <c r="D10" s="4">
        <f ca="1">VLOOKUP(A10,'Today_07-01-25'!$A:$K,11,0)</f>
        <v>125</v>
      </c>
      <c r="E10" s="23">
        <v>100</v>
      </c>
      <c r="F10" s="23">
        <v>0</v>
      </c>
      <c r="G10" s="23">
        <v>0</v>
      </c>
      <c r="H10" s="23">
        <v>90</v>
      </c>
      <c r="I10" s="23">
        <v>0</v>
      </c>
      <c r="J10" s="23">
        <v>0</v>
      </c>
    </row>
    <row r="11" spans="1:1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7">
        <f ca="1">IFERROR(IF(B11 &lt;&gt; "**Unoccupied**", SUM(INDIRECT(ADDRESS(ROW(), COLUMN() + 1)):INDEX(11:11,COUNTA($1:$1) + 1)), "-"), 0)</f>
        <v>250</v>
      </c>
      <c r="D11" s="4">
        <f ca="1">VLOOKUP(A11,'Today_07-01-25'!$A:$K,11,0)</f>
        <v>75</v>
      </c>
      <c r="E11" s="23">
        <v>125</v>
      </c>
      <c r="F11" s="23">
        <v>0</v>
      </c>
      <c r="G11" s="23">
        <v>0</v>
      </c>
      <c r="H11" s="23">
        <v>0</v>
      </c>
      <c r="I11" s="23">
        <v>0</v>
      </c>
      <c r="J11" s="23">
        <v>50</v>
      </c>
    </row>
    <row r="12" spans="1:1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Shweta</v>
      </c>
      <c r="C12" s="7">
        <f ca="1">IFERROR(IF(B12 &lt;&gt; "**Unoccupied**", SUM(INDIRECT(ADDRESS(ROW(), COLUMN() + 1)):INDEX(12:12,COUNTA($1:$1) + 1)), "-"), 0)</f>
        <v>250</v>
      </c>
      <c r="D12" s="4">
        <f ca="1">VLOOKUP(A12,'Today_07-01-25'!$A:$K,11,0)</f>
        <v>125</v>
      </c>
      <c r="E12" s="23">
        <v>125</v>
      </c>
      <c r="F12" s="23">
        <v>0</v>
      </c>
      <c r="G12" s="23" t="s">
        <v>27</v>
      </c>
      <c r="H12" s="23" t="s">
        <v>27</v>
      </c>
      <c r="I12" s="23" t="s">
        <v>27</v>
      </c>
      <c r="J12" s="23" t="s">
        <v>27</v>
      </c>
    </row>
    <row r="13" spans="1:1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Pratik Sir</v>
      </c>
      <c r="C13" s="7">
        <f ca="1">IFERROR(IF(B13 &lt;&gt; "**Unoccupied**", SUM(INDIRECT(ADDRESS(ROW(), COLUMN() + 1)):INDEX(13:13,COUNTA($1:$1) + 1)), "-"), 0)</f>
        <v>250</v>
      </c>
      <c r="D13" s="4">
        <f ca="1">VLOOKUP(A13,'Today_07-01-25'!$A:$K,11,0)</f>
        <v>125</v>
      </c>
      <c r="E13" s="23">
        <v>125</v>
      </c>
      <c r="F13" s="23">
        <v>0</v>
      </c>
      <c r="G13" s="23" t="s">
        <v>27</v>
      </c>
      <c r="H13" s="23" t="s">
        <v>27</v>
      </c>
      <c r="I13" s="23" t="s">
        <v>27</v>
      </c>
      <c r="J13" s="23" t="s">
        <v>27</v>
      </c>
    </row>
    <row r="14" spans="1:1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7" t="str">
        <f ca="1">IFERROR(IF(B14 &lt;&gt; "**Unoccupied**", SUM(INDIRECT(ADDRESS(ROW(), COLUMN() + 1)):INDEX(14:14,COUNTA($1:$1) + 1)), "-"), 0)</f>
        <v>-</v>
      </c>
      <c r="D14" s="4" t="str">
        <f ca="1">VLOOKUP(A14,'Today_07-01-25'!$A:$K,11,0)</f>
        <v>-</v>
      </c>
      <c r="E14" s="23" t="s">
        <v>27</v>
      </c>
      <c r="F14" s="23" t="s">
        <v>27</v>
      </c>
      <c r="G14" s="23" t="s">
        <v>27</v>
      </c>
      <c r="H14" s="23" t="s">
        <v>27</v>
      </c>
      <c r="I14" s="23" t="s">
        <v>27</v>
      </c>
      <c r="J14" s="23" t="s">
        <v>27</v>
      </c>
    </row>
    <row r="15" spans="1:1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7" t="str">
        <f ca="1">IFERROR(IF(B15 &lt;&gt; "**Unoccupied**", SUM(INDIRECT(ADDRESS(ROW(), COLUMN() + 1)):INDEX(15:15,COUNTA($1:$1) + 1)), "-"), 0)</f>
        <v>-</v>
      </c>
      <c r="D15" s="4" t="str">
        <f ca="1">VLOOKUP(A15,'Today_07-01-25'!$A:$K,11,0)</f>
        <v>-</v>
      </c>
      <c r="E15" s="23" t="s">
        <v>27</v>
      </c>
      <c r="F15" s="23" t="s">
        <v>27</v>
      </c>
      <c r="G15" s="23" t="s">
        <v>27</v>
      </c>
      <c r="H15" s="23" t="s">
        <v>27</v>
      </c>
      <c r="I15" s="23" t="s">
        <v>27</v>
      </c>
      <c r="J15" s="23" t="s">
        <v>27</v>
      </c>
    </row>
    <row r="16" spans="1:1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7" t="str">
        <f ca="1">IFERROR(IF(B16 &lt;&gt; "**Unoccupied**", SUM(INDIRECT(ADDRESS(ROW(), COLUMN() + 1)):INDEX(16:16,COUNTA($1:$1) + 1)), "-"), 0)</f>
        <v>-</v>
      </c>
      <c r="D16" s="4" t="str">
        <f ca="1">VLOOKUP(A16,'Today_07-01-25'!$A:$K,11,0)</f>
        <v>-</v>
      </c>
      <c r="E16" s="23" t="s">
        <v>27</v>
      </c>
      <c r="F16" s="23" t="s">
        <v>27</v>
      </c>
      <c r="G16" s="23" t="s">
        <v>27</v>
      </c>
      <c r="H16" s="23" t="s">
        <v>27</v>
      </c>
      <c r="I16" s="23" t="s">
        <v>27</v>
      </c>
      <c r="J16" s="23" t="s">
        <v>27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168C-FA2E-423E-A0E7-98984B828E54}">
  <sheetPr codeName="Sheet16"/>
  <dimension ref="A1:D16"/>
  <sheetViews>
    <sheetView workbookViewId="0">
      <selection activeCell="C8" sqref="C8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8" bestFit="1" customWidth="1"/>
    <col min="4" max="4" width="11.28515625" style="9" bestFit="1" customWidth="1"/>
  </cols>
  <sheetData>
    <row r="1" spans="1:4" x14ac:dyDescent="0.25">
      <c r="A1" s="2" t="s">
        <v>0</v>
      </c>
      <c r="B1" s="2" t="s">
        <v>1</v>
      </c>
      <c r="C1" s="2" t="s">
        <v>28</v>
      </c>
      <c r="D1" s="2" t="s">
        <v>26</v>
      </c>
    </row>
    <row r="2" spans="1: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8">
        <f ca="1">'BoarderDateWise-Sales'!C2</f>
        <v>200</v>
      </c>
      <c r="D2" s="8">
        <f ca="1">SUM($C:$C)</f>
        <v>3200</v>
      </c>
    </row>
    <row r="3" spans="1: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8">
        <f ca="1">'BoarderDateWise-Sales'!C3</f>
        <v>250</v>
      </c>
    </row>
    <row r="4" spans="1: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8">
        <f ca="1">'BoarderDateWise-Sales'!C4</f>
        <v>285</v>
      </c>
    </row>
    <row r="5" spans="1: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8">
        <f ca="1">'BoarderDateWise-Sales'!C5</f>
        <v>275</v>
      </c>
    </row>
    <row r="6" spans="1: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8">
        <f ca="1">'BoarderDateWise-Sales'!C6</f>
        <v>345</v>
      </c>
    </row>
    <row r="7" spans="1: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8">
        <f ca="1">'BoarderDateWise-Sales'!C7</f>
        <v>205</v>
      </c>
    </row>
    <row r="8" spans="1: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8">
        <f ca="1">'BoarderDateWise-Sales'!C8</f>
        <v>325</v>
      </c>
    </row>
    <row r="9" spans="1: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8">
        <f ca="1">'BoarderDateWise-Sales'!C9</f>
        <v>250</v>
      </c>
    </row>
    <row r="10" spans="1: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8">
        <f ca="1">'BoarderDateWise-Sales'!C10</f>
        <v>315</v>
      </c>
    </row>
    <row r="11" spans="1: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8">
        <f ca="1">'BoarderDateWise-Sales'!C11</f>
        <v>250</v>
      </c>
    </row>
    <row r="12" spans="1: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Shweta</v>
      </c>
      <c r="C12" s="7">
        <f ca="1">'BoarderDateWise-Sales'!C12</f>
        <v>250</v>
      </c>
    </row>
    <row r="13" spans="1: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Pratik Sir</v>
      </c>
      <c r="C13" s="7">
        <f ca="1">'BoarderDateWise-Sales'!C13</f>
        <v>250</v>
      </c>
    </row>
    <row r="14" spans="1: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7" t="str">
        <f ca="1">'BoarderDateWise-Sales'!C14</f>
        <v>-</v>
      </c>
    </row>
    <row r="15" spans="1: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7" t="str">
        <f ca="1">'BoarderDateWise-Sales'!C15</f>
        <v>-</v>
      </c>
    </row>
    <row r="16" spans="1: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7" t="str">
        <f ca="1">'BoarderDateWise-Sales'!C16</f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6"/>
  <sheetViews>
    <sheetView tabSelected="1" zoomScale="145" zoomScaleNormal="145" workbookViewId="0">
      <selection activeCell="E2" sqref="E2"/>
    </sheetView>
  </sheetViews>
  <sheetFormatPr defaultRowHeight="15" x14ac:dyDescent="0.25"/>
  <cols>
    <col min="1" max="1" width="8.7109375" style="1"/>
    <col min="2" max="2" width="15.5703125" style="1" bestFit="1" customWidth="1"/>
    <col min="3" max="5" width="9.7109375" style="5" customWidth="1"/>
    <col min="6" max="10" width="15.5703125" style="1" customWidth="1"/>
    <col min="11" max="11" width="10.28515625" style="8" bestFit="1" customWidth="1"/>
    <col min="12" max="12" width="11.28515625" style="9" bestFit="1" customWidth="1"/>
    <col min="15" max="15" width="9.140625" style="1"/>
    <col min="16" max="16" width="12.140625" style="1" hidden="1" customWidth="1"/>
    <col min="17" max="17" width="9.140625" style="1"/>
    <col min="20" max="20" width="13.140625" bestFit="1" customWidth="1"/>
    <col min="21" max="21" width="11.140625" bestFit="1" customWidth="1"/>
  </cols>
  <sheetData>
    <row r="1" spans="1:3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19</v>
      </c>
      <c r="G1" s="2" t="s">
        <v>20</v>
      </c>
      <c r="H1" s="2" t="s">
        <v>21</v>
      </c>
      <c r="I1" s="2" t="s">
        <v>22</v>
      </c>
      <c r="J1" s="2" t="s">
        <v>23</v>
      </c>
      <c r="K1" s="2" t="s">
        <v>24</v>
      </c>
      <c r="L1" s="2" t="s">
        <v>26</v>
      </c>
      <c r="O1" s="2" t="s">
        <v>16</v>
      </c>
      <c r="P1" s="2" t="s">
        <v>18</v>
      </c>
      <c r="Q1" s="11" t="s">
        <v>17</v>
      </c>
      <c r="R1" s="13" t="s">
        <v>25</v>
      </c>
      <c r="S1" s="14" t="s">
        <v>17</v>
      </c>
      <c r="T1" s="17" t="s">
        <v>35</v>
      </c>
      <c r="U1" s="14" t="s">
        <v>34</v>
      </c>
      <c r="AD1" s="3"/>
    </row>
    <row r="2" spans="1:30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25" t="s">
        <v>49</v>
      </c>
      <c r="D2" s="25" t="s">
        <v>49</v>
      </c>
      <c r="E2" s="25" t="s">
        <v>49</v>
      </c>
      <c r="K2" s="7">
        <f ca="1">IF(B2 &lt;&gt; "**Unoccupied**", SUM(IF(NOT(ISERROR(FIND("✓", C2))), VLOOKUP("Breakfast", $R$1:$S$4, 2, 0)), IF(NOT(ISERROR(FIND("✓", D2))), VLOOKUP("Lunch", $R$1:$S$4, 2, 0)), IF(NOT(ISERROR(FIND("✓", E2))), VLOOKUP("Dinner", $R$1:$S$4, 2, 0)), IF(NOT(ISBLANK(F2)), VLOOKUP(F2, $P:$Q, 2, 0)), IF(NOT(ISBLANK(G2)), VLOOKUP(G2, $P:$Q, 2, 0)), IF(NOT(ISBLANK(H2)), VLOOKUP(H2, $P:$Q, 2, 0)), IF(NOT(ISBLANK(I2)), VLOOKUP(I2, $P:$Q, 2, 0)), IF(NOT(ISBLANK(J2)), VLOOKUP(J2, $P:$Q, 2, 0))), "-")</f>
        <v>125</v>
      </c>
      <c r="L2" s="8">
        <f ca="1">SUM($K:$K)</f>
        <v>1325</v>
      </c>
      <c r="O2" s="1" t="s">
        <v>38</v>
      </c>
      <c r="P2" s="1" t="str">
        <f t="shared" ref="P2" si="0">O2 &amp; " - Rs. " &amp; Q2</f>
        <v>Chicken - Rs. 70</v>
      </c>
      <c r="Q2" s="1">
        <v>70</v>
      </c>
      <c r="R2" s="19" t="s">
        <v>2</v>
      </c>
      <c r="S2" s="20">
        <v>25</v>
      </c>
      <c r="T2" s="5" t="s">
        <v>49</v>
      </c>
      <c r="U2" s="15" t="s">
        <v>32</v>
      </c>
    </row>
    <row r="3" spans="1:30" ht="15.75" thickBot="1" x14ac:dyDescent="0.3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25" t="s">
        <v>49</v>
      </c>
      <c r="D3" s="25" t="s">
        <v>49</v>
      </c>
      <c r="E3" s="25" t="s">
        <v>49</v>
      </c>
      <c r="K3" s="7">
        <f t="shared" ref="K3:K16" ca="1" si="1">IF(B3 &lt;&gt; "**Unoccupied**", SUM(IF(NOT(ISERROR(FIND("✓", C3))), VLOOKUP("Breakfast", $R$1:$S$4, 2, 0)), IF(NOT(ISERROR(FIND("✓", D3))), VLOOKUP("Lunch", $R$1:$S$4, 2, 0)), IF(NOT(ISERROR(FIND("✓", E3))), VLOOKUP("Dinner", $R$1:$S$4, 2, 0)), IF(NOT(ISBLANK(F3)), VLOOKUP(F3, $P:$Q, 2, 0)), IF(NOT(ISBLANK(G3)), VLOOKUP(G3, $P:$Q, 2, 0)), IF(NOT(ISBLANK(H3)), VLOOKUP(H3, $P:$Q, 2, 0)), IF(NOT(ISBLANK(I3)), VLOOKUP(I3, $P:$Q, 2, 0)), IF(NOT(ISBLANK(J3)), VLOOKUP(J3, $P:$Q, 2, 0))), "-")</f>
        <v>125</v>
      </c>
      <c r="O3" s="1" t="s">
        <v>41</v>
      </c>
      <c r="P3" s="1" t="str">
        <f t="shared" ref="P3:P5" si="2">O3 &amp; " - Rs. " &amp; Q3</f>
        <v>Fish - Rs. 80</v>
      </c>
      <c r="Q3" s="12">
        <v>80</v>
      </c>
      <c r="R3" s="19" t="s">
        <v>3</v>
      </c>
      <c r="S3" s="20">
        <v>50</v>
      </c>
      <c r="T3" s="18" t="s">
        <v>15</v>
      </c>
      <c r="U3" s="16" t="s">
        <v>33</v>
      </c>
    </row>
    <row r="4" spans="1:30" ht="15.75" thickBot="1" x14ac:dyDescent="0.3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25" t="s">
        <v>49</v>
      </c>
      <c r="D4" s="25" t="s">
        <v>15</v>
      </c>
      <c r="E4" s="25" t="s">
        <v>49</v>
      </c>
      <c r="K4" s="7">
        <f t="shared" ca="1" si="1"/>
        <v>75</v>
      </c>
      <c r="O4" s="1" t="s">
        <v>42</v>
      </c>
      <c r="P4" s="1" t="str">
        <f t="shared" si="2"/>
        <v>Paneer - Rs. 50</v>
      </c>
      <c r="Q4" s="12">
        <v>50</v>
      </c>
      <c r="R4" s="21" t="s">
        <v>4</v>
      </c>
      <c r="S4" s="16">
        <v>50</v>
      </c>
    </row>
    <row r="5" spans="1:30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25" t="s">
        <v>49</v>
      </c>
      <c r="D5" s="25" t="s">
        <v>49</v>
      </c>
      <c r="E5" s="25" t="s">
        <v>15</v>
      </c>
      <c r="K5" s="7">
        <f t="shared" ca="1" si="1"/>
        <v>75</v>
      </c>
      <c r="O5" s="1" t="s">
        <v>47</v>
      </c>
      <c r="P5" s="1" t="str">
        <f t="shared" si="2"/>
        <v>Egg X 1 - Rs. 12</v>
      </c>
      <c r="Q5" s="1">
        <v>12</v>
      </c>
    </row>
    <row r="6" spans="1:30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25" t="s">
        <v>49</v>
      </c>
      <c r="D6" s="25" t="s">
        <v>49</v>
      </c>
      <c r="E6" s="25" t="s">
        <v>49</v>
      </c>
      <c r="K6" s="7">
        <f t="shared" ca="1" si="1"/>
        <v>125</v>
      </c>
      <c r="O6" s="1" t="s">
        <v>43</v>
      </c>
      <c r="P6" s="1" t="str">
        <f t="shared" ref="P6" si="3">O6 &amp; " - Rs. " &amp; Q6</f>
        <v>Egg X 2 - Rs. 25</v>
      </c>
      <c r="Q6" s="1">
        <v>25</v>
      </c>
    </row>
    <row r="7" spans="1:30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25" t="s">
        <v>15</v>
      </c>
      <c r="D7" s="25" t="s">
        <v>49</v>
      </c>
      <c r="E7" s="25" t="s">
        <v>49</v>
      </c>
      <c r="K7" s="7">
        <f t="shared" ca="1" si="1"/>
        <v>100</v>
      </c>
      <c r="O7" s="1" t="s">
        <v>44</v>
      </c>
      <c r="P7" s="1" t="str">
        <f t="shared" ref="P7:P9" si="4">O7 &amp; " - Rs. " &amp; Q7</f>
        <v>Tea - Rs. 10</v>
      </c>
      <c r="Q7" s="1">
        <v>10</v>
      </c>
    </row>
    <row r="8" spans="1:30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25" t="s">
        <v>49</v>
      </c>
      <c r="D8" s="25" t="s">
        <v>49</v>
      </c>
      <c r="E8" s="25" t="s">
        <v>49</v>
      </c>
      <c r="K8" s="7">
        <f t="shared" ca="1" si="1"/>
        <v>125</v>
      </c>
      <c r="O8" s="1" t="s">
        <v>45</v>
      </c>
      <c r="P8" s="1" t="str">
        <f t="shared" si="4"/>
        <v>Coffee - Rs. 15</v>
      </c>
      <c r="Q8" s="1">
        <v>15</v>
      </c>
    </row>
    <row r="9" spans="1:30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25" t="s">
        <v>49</v>
      </c>
      <c r="D9" s="25" t="s">
        <v>49</v>
      </c>
      <c r="E9" s="25" t="s">
        <v>49</v>
      </c>
      <c r="K9" s="7">
        <f t="shared" ca="1" si="1"/>
        <v>125</v>
      </c>
      <c r="O9" s="1" t="s">
        <v>46</v>
      </c>
      <c r="P9" s="1" t="str">
        <f t="shared" si="4"/>
        <v>Milk - Rs. 12</v>
      </c>
      <c r="Q9" s="1">
        <v>12</v>
      </c>
    </row>
    <row r="10" spans="1:30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25" t="s">
        <v>49</v>
      </c>
      <c r="D10" s="25" t="s">
        <v>49</v>
      </c>
      <c r="E10" s="25" t="s">
        <v>49</v>
      </c>
      <c r="K10" s="7">
        <f t="shared" ca="1" si="1"/>
        <v>125</v>
      </c>
    </row>
    <row r="11" spans="1:30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25" t="s">
        <v>49</v>
      </c>
      <c r="D11" s="25" t="s">
        <v>49</v>
      </c>
      <c r="E11" s="25" t="s">
        <v>15</v>
      </c>
      <c r="K11" s="7">
        <f t="shared" ca="1" si="1"/>
        <v>75</v>
      </c>
    </row>
    <row r="12" spans="1:30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Shweta</v>
      </c>
      <c r="C12" s="25" t="s">
        <v>49</v>
      </c>
      <c r="D12" s="25" t="s">
        <v>49</v>
      </c>
      <c r="E12" s="25" t="s">
        <v>49</v>
      </c>
      <c r="K12" s="7">
        <f t="shared" ca="1" si="1"/>
        <v>125</v>
      </c>
    </row>
    <row r="13" spans="1:30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Pratik Sir</v>
      </c>
      <c r="C13" s="25" t="s">
        <v>49</v>
      </c>
      <c r="D13" s="25" t="s">
        <v>49</v>
      </c>
      <c r="E13" s="25" t="s">
        <v>49</v>
      </c>
      <c r="K13" s="7">
        <f t="shared" ca="1" si="1"/>
        <v>125</v>
      </c>
    </row>
    <row r="14" spans="1:30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25" t="s">
        <v>15</v>
      </c>
      <c r="D14" s="25" t="s">
        <v>15</v>
      </c>
      <c r="E14" s="25" t="s">
        <v>15</v>
      </c>
      <c r="K14" s="7" t="str">
        <f t="shared" ca="1" si="1"/>
        <v>-</v>
      </c>
    </row>
    <row r="15" spans="1:30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25" t="s">
        <v>15</v>
      </c>
      <c r="D15" s="25" t="s">
        <v>15</v>
      </c>
      <c r="E15" s="25" t="s">
        <v>15</v>
      </c>
      <c r="K15" s="7" t="str">
        <f t="shared" ca="1" si="1"/>
        <v>-</v>
      </c>
    </row>
    <row r="16" spans="1:30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25" t="s">
        <v>15</v>
      </c>
      <c r="D16" s="25" t="s">
        <v>15</v>
      </c>
      <c r="E16" s="25" t="s">
        <v>15</v>
      </c>
      <c r="K16" s="7" t="str">
        <f t="shared" ca="1" si="1"/>
        <v>-</v>
      </c>
    </row>
  </sheetData>
  <phoneticPr fontId="3" type="noConversion"/>
  <conditionalFormatting sqref="C2:E16">
    <cfRule type="cellIs" dxfId="2" priority="2" operator="equal">
      <formula>$T$2</formula>
    </cfRule>
  </conditionalFormatting>
  <conditionalFormatting sqref="T2">
    <cfRule type="cellIs" dxfId="1" priority="1" operator="equal">
      <formula>$T$2</formula>
    </cfRule>
  </conditionalFormatting>
  <dataValidations count="2">
    <dataValidation type="list" allowBlank="1" showInputMessage="1" showErrorMessage="1" sqref="F2:J16" xr:uid="{7037A944-73AE-4D24-A557-198C475BC96C}">
      <formula1>OFFSET($P$2,0,0,COUNTA($P:$P),1)</formula1>
    </dataValidation>
    <dataValidation type="list" allowBlank="1" showInputMessage="1" showErrorMessage="1" sqref="C2:E16" xr:uid="{06A63002-6FB1-4CA4-9B4A-489883B105C6}">
      <formula1>$T$2:$T$3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FD7E1-AB26-420C-A092-131E9D37C08D}">
  <dimension ref="A1:L16"/>
  <sheetViews>
    <sheetView workbookViewId="0">
      <selection activeCell="D10" sqref="D10"/>
    </sheetView>
  </sheetViews>
  <sheetFormatPr defaultRowHeight="15" x14ac:dyDescent="0.25"/>
  <cols>
    <col min="1" max="1" width="9.140625" style="1"/>
    <col min="2" max="2" width="15.5703125" style="1" bestFit="1" customWidth="1"/>
    <col min="3" max="5" width="9.7109375" style="5" customWidth="1"/>
    <col min="6" max="10" width="15.5703125" style="1" customWidth="1"/>
    <col min="11" max="11" width="10.28515625" style="8" bestFit="1" customWidth="1"/>
    <col min="12" max="12" width="11.28515625" style="9" bestFit="1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19</v>
      </c>
      <c r="G1" s="2" t="s">
        <v>20</v>
      </c>
      <c r="H1" s="2" t="s">
        <v>21</v>
      </c>
      <c r="I1" s="2" t="s">
        <v>22</v>
      </c>
      <c r="J1" s="2" t="s">
        <v>23</v>
      </c>
      <c r="K1" s="2" t="s">
        <v>24</v>
      </c>
      <c r="L1" s="2" t="s">
        <v>26</v>
      </c>
    </row>
    <row r="2" spans="1:12" x14ac:dyDescent="0.25">
      <c r="A2" s="1">
        <v>1</v>
      </c>
      <c r="B2" s="1" t="s">
        <v>5</v>
      </c>
      <c r="C2" s="25" t="s">
        <v>49</v>
      </c>
      <c r="D2" s="25" t="s">
        <v>49</v>
      </c>
      <c r="E2" s="25"/>
      <c r="K2" s="7">
        <v>75</v>
      </c>
      <c r="L2" s="8">
        <v>1325</v>
      </c>
    </row>
    <row r="3" spans="1:12" x14ac:dyDescent="0.25">
      <c r="A3" s="1">
        <v>2</v>
      </c>
      <c r="B3" s="1" t="s">
        <v>6</v>
      </c>
      <c r="C3" s="25" t="s">
        <v>49</v>
      </c>
      <c r="D3" s="25" t="s">
        <v>49</v>
      </c>
      <c r="E3" s="25" t="s">
        <v>49</v>
      </c>
      <c r="K3" s="7">
        <v>125</v>
      </c>
    </row>
    <row r="4" spans="1:12" x14ac:dyDescent="0.25">
      <c r="A4" s="1">
        <v>3</v>
      </c>
      <c r="B4" s="1" t="s">
        <v>7</v>
      </c>
      <c r="C4" s="25" t="s">
        <v>49</v>
      </c>
      <c r="D4" s="25" t="s">
        <v>49</v>
      </c>
      <c r="E4" s="25" t="s">
        <v>49</v>
      </c>
      <c r="K4" s="7">
        <v>125</v>
      </c>
    </row>
    <row r="5" spans="1:12" x14ac:dyDescent="0.25">
      <c r="A5" s="1">
        <v>4</v>
      </c>
      <c r="B5" s="1" t="s">
        <v>8</v>
      </c>
      <c r="C5" s="25" t="s">
        <v>49</v>
      </c>
      <c r="D5" s="25" t="s">
        <v>49</v>
      </c>
      <c r="E5" s="25" t="s">
        <v>49</v>
      </c>
      <c r="K5" s="7">
        <v>125</v>
      </c>
    </row>
    <row r="6" spans="1:12" x14ac:dyDescent="0.25">
      <c r="A6" s="1">
        <v>5</v>
      </c>
      <c r="B6" s="1" t="s">
        <v>9</v>
      </c>
      <c r="C6" s="25" t="s">
        <v>49</v>
      </c>
      <c r="D6" s="25" t="s">
        <v>49</v>
      </c>
      <c r="E6" s="25" t="s">
        <v>49</v>
      </c>
      <c r="K6" s="7">
        <v>125</v>
      </c>
    </row>
    <row r="7" spans="1:12" x14ac:dyDescent="0.25">
      <c r="A7" s="1">
        <v>6</v>
      </c>
      <c r="B7" s="1" t="s">
        <v>10</v>
      </c>
      <c r="C7" s="25" t="s">
        <v>49</v>
      </c>
      <c r="D7" s="25" t="s">
        <v>49</v>
      </c>
      <c r="E7" s="25"/>
      <c r="K7" s="7">
        <v>75</v>
      </c>
    </row>
    <row r="8" spans="1:12" x14ac:dyDescent="0.25">
      <c r="A8" s="1">
        <v>7</v>
      </c>
      <c r="B8" s="1" t="s">
        <v>29</v>
      </c>
      <c r="C8" s="25" t="s">
        <v>49</v>
      </c>
      <c r="D8" s="25" t="s">
        <v>49</v>
      </c>
      <c r="E8" s="25" t="s">
        <v>49</v>
      </c>
      <c r="K8" s="7">
        <v>125</v>
      </c>
    </row>
    <row r="9" spans="1:12" x14ac:dyDescent="0.25">
      <c r="A9" s="1">
        <v>8</v>
      </c>
      <c r="B9" s="1" t="s">
        <v>11</v>
      </c>
      <c r="C9" s="25" t="s">
        <v>49</v>
      </c>
      <c r="D9" s="25"/>
      <c r="E9" s="25" t="s">
        <v>49</v>
      </c>
      <c r="K9" s="7">
        <v>75</v>
      </c>
    </row>
    <row r="10" spans="1:12" x14ac:dyDescent="0.25">
      <c r="A10" s="1">
        <v>9</v>
      </c>
      <c r="B10" s="1" t="s">
        <v>12</v>
      </c>
      <c r="C10" s="25"/>
      <c r="D10" s="25" t="s">
        <v>49</v>
      </c>
      <c r="E10" s="25" t="s">
        <v>49</v>
      </c>
      <c r="K10" s="7">
        <v>100</v>
      </c>
    </row>
    <row r="11" spans="1:12" x14ac:dyDescent="0.25">
      <c r="A11" s="1">
        <v>10</v>
      </c>
      <c r="B11" s="1" t="s">
        <v>13</v>
      </c>
      <c r="C11" s="25" t="s">
        <v>49</v>
      </c>
      <c r="D11" s="25" t="s">
        <v>49</v>
      </c>
      <c r="E11" s="25" t="s">
        <v>49</v>
      </c>
      <c r="K11" s="7">
        <v>125</v>
      </c>
    </row>
    <row r="12" spans="1:12" x14ac:dyDescent="0.25">
      <c r="A12" s="1">
        <v>11</v>
      </c>
      <c r="B12" s="1" t="s">
        <v>39</v>
      </c>
      <c r="C12" s="25" t="s">
        <v>49</v>
      </c>
      <c r="D12" s="25" t="s">
        <v>49</v>
      </c>
      <c r="E12" s="25" t="s">
        <v>49</v>
      </c>
      <c r="K12" s="7">
        <v>125</v>
      </c>
    </row>
    <row r="13" spans="1:12" x14ac:dyDescent="0.25">
      <c r="A13" s="1">
        <v>12</v>
      </c>
      <c r="B13" s="1" t="s">
        <v>40</v>
      </c>
      <c r="C13" s="25" t="s">
        <v>49</v>
      </c>
      <c r="D13" s="25" t="s">
        <v>49</v>
      </c>
      <c r="E13" s="25" t="s">
        <v>49</v>
      </c>
      <c r="K13" s="7">
        <v>125</v>
      </c>
    </row>
    <row r="14" spans="1:12" x14ac:dyDescent="0.25">
      <c r="A14" s="1">
        <v>13</v>
      </c>
      <c r="B14" s="1" t="s">
        <v>30</v>
      </c>
      <c r="C14" s="25"/>
      <c r="D14" s="25"/>
      <c r="E14" s="25"/>
      <c r="K14" s="7" t="s">
        <v>27</v>
      </c>
    </row>
    <row r="15" spans="1:12" x14ac:dyDescent="0.25">
      <c r="A15" s="1">
        <v>14</v>
      </c>
      <c r="B15" s="1" t="s">
        <v>30</v>
      </c>
      <c r="C15" s="25"/>
      <c r="D15" s="25"/>
      <c r="E15" s="25"/>
      <c r="K15" s="7" t="s">
        <v>27</v>
      </c>
    </row>
    <row r="16" spans="1:12" x14ac:dyDescent="0.25">
      <c r="A16" s="1">
        <v>15</v>
      </c>
      <c r="B16" s="1" t="s">
        <v>30</v>
      </c>
      <c r="C16" s="25"/>
      <c r="D16" s="25"/>
      <c r="E16" s="25"/>
      <c r="K16" s="7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40EE3-75EC-460A-AD5E-4C5AB5102561}">
  <sheetPr codeName="Sheet5"/>
  <dimension ref="A1:L16"/>
  <sheetViews>
    <sheetView workbookViewId="0">
      <selection activeCell="L3" sqref="L3"/>
    </sheetView>
  </sheetViews>
  <sheetFormatPr defaultRowHeight="15" x14ac:dyDescent="0.25"/>
  <cols>
    <col min="1" max="1" width="9.140625" style="1"/>
    <col min="2" max="2" width="15.5703125" style="1" bestFit="1" customWidth="1"/>
    <col min="3" max="5" width="9.7109375" style="5" customWidth="1"/>
    <col min="6" max="10" width="15.5703125" style="1" customWidth="1"/>
    <col min="11" max="11" width="10.28515625" style="8" bestFit="1" customWidth="1"/>
    <col min="12" max="12" width="11.28515625" style="9" bestFit="1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19</v>
      </c>
      <c r="G1" s="2" t="s">
        <v>20</v>
      </c>
      <c r="H1" s="2" t="s">
        <v>21</v>
      </c>
      <c r="I1" s="2" t="s">
        <v>22</v>
      </c>
      <c r="J1" s="2" t="s">
        <v>23</v>
      </c>
      <c r="K1" s="2" t="s">
        <v>24</v>
      </c>
      <c r="L1" s="2" t="s">
        <v>26</v>
      </c>
    </row>
    <row r="2" spans="1:12" x14ac:dyDescent="0.25">
      <c r="A2" s="1">
        <v>1</v>
      </c>
      <c r="B2" s="1" t="s">
        <v>5</v>
      </c>
      <c r="C2" s="25" t="s">
        <v>48</v>
      </c>
      <c r="D2" s="25" t="s">
        <v>48</v>
      </c>
      <c r="E2" s="25" t="s">
        <v>48</v>
      </c>
      <c r="K2" s="7">
        <v>0</v>
      </c>
      <c r="L2" s="8">
        <v>0</v>
      </c>
    </row>
    <row r="3" spans="1:12" x14ac:dyDescent="0.25">
      <c r="A3" s="1">
        <v>2</v>
      </c>
      <c r="B3" s="1" t="s">
        <v>6</v>
      </c>
      <c r="C3" s="25" t="s">
        <v>48</v>
      </c>
      <c r="D3" s="25" t="s">
        <v>48</v>
      </c>
      <c r="E3" s="25" t="s">
        <v>48</v>
      </c>
      <c r="K3" s="7">
        <v>0</v>
      </c>
    </row>
    <row r="4" spans="1:12" x14ac:dyDescent="0.25">
      <c r="A4" s="1">
        <v>3</v>
      </c>
      <c r="B4" s="1" t="s">
        <v>7</v>
      </c>
      <c r="C4" s="25" t="s">
        <v>48</v>
      </c>
      <c r="D4" s="25" t="s">
        <v>48</v>
      </c>
      <c r="E4" s="25" t="s">
        <v>48</v>
      </c>
      <c r="K4" s="7">
        <v>0</v>
      </c>
    </row>
    <row r="5" spans="1:12" x14ac:dyDescent="0.25">
      <c r="A5" s="1">
        <v>4</v>
      </c>
      <c r="B5" s="1" t="s">
        <v>8</v>
      </c>
      <c r="C5" s="25" t="s">
        <v>48</v>
      </c>
      <c r="D5" s="25" t="s">
        <v>48</v>
      </c>
      <c r="E5" s="25" t="s">
        <v>48</v>
      </c>
      <c r="K5" s="7">
        <v>0</v>
      </c>
    </row>
    <row r="6" spans="1:12" x14ac:dyDescent="0.25">
      <c r="A6" s="1">
        <v>5</v>
      </c>
      <c r="B6" s="1" t="s">
        <v>9</v>
      </c>
      <c r="C6" s="25" t="s">
        <v>48</v>
      </c>
      <c r="D6" s="25" t="s">
        <v>48</v>
      </c>
      <c r="E6" s="25" t="s">
        <v>48</v>
      </c>
      <c r="K6" s="7">
        <v>0</v>
      </c>
    </row>
    <row r="7" spans="1:12" x14ac:dyDescent="0.25">
      <c r="A7" s="1">
        <v>6</v>
      </c>
      <c r="B7" s="1" t="s">
        <v>10</v>
      </c>
      <c r="C7" s="25" t="s">
        <v>48</v>
      </c>
      <c r="D7" s="25" t="s">
        <v>48</v>
      </c>
      <c r="E7" s="25" t="s">
        <v>48</v>
      </c>
      <c r="K7" s="7">
        <v>0</v>
      </c>
    </row>
    <row r="8" spans="1:12" x14ac:dyDescent="0.25">
      <c r="A8" s="1">
        <v>7</v>
      </c>
      <c r="B8" s="1" t="s">
        <v>29</v>
      </c>
      <c r="C8" s="25" t="s">
        <v>48</v>
      </c>
      <c r="D8" s="25" t="s">
        <v>48</v>
      </c>
      <c r="E8" s="25" t="s">
        <v>48</v>
      </c>
      <c r="K8" s="7">
        <v>0</v>
      </c>
    </row>
    <row r="9" spans="1:12" x14ac:dyDescent="0.25">
      <c r="A9" s="1">
        <v>8</v>
      </c>
      <c r="B9" s="1" t="s">
        <v>11</v>
      </c>
      <c r="C9" s="25" t="s">
        <v>48</v>
      </c>
      <c r="D9" s="25" t="s">
        <v>48</v>
      </c>
      <c r="E9" s="25" t="s">
        <v>48</v>
      </c>
      <c r="K9" s="7">
        <v>0</v>
      </c>
    </row>
    <row r="10" spans="1:12" x14ac:dyDescent="0.25">
      <c r="A10" s="1">
        <v>9</v>
      </c>
      <c r="B10" s="1" t="s">
        <v>12</v>
      </c>
      <c r="C10" s="25" t="s">
        <v>48</v>
      </c>
      <c r="D10" s="25" t="s">
        <v>48</v>
      </c>
      <c r="E10" s="25" t="s">
        <v>48</v>
      </c>
      <c r="K10" s="7">
        <v>0</v>
      </c>
    </row>
    <row r="11" spans="1:12" x14ac:dyDescent="0.25">
      <c r="A11" s="1">
        <v>10</v>
      </c>
      <c r="B11" s="1" t="s">
        <v>13</v>
      </c>
      <c r="C11" s="25" t="s">
        <v>48</v>
      </c>
      <c r="D11" s="25" t="s">
        <v>48</v>
      </c>
      <c r="E11" s="25" t="s">
        <v>48</v>
      </c>
      <c r="K11" s="7">
        <v>0</v>
      </c>
    </row>
    <row r="12" spans="1:12" x14ac:dyDescent="0.25">
      <c r="A12" s="1">
        <v>11</v>
      </c>
      <c r="B12" s="1" t="s">
        <v>39</v>
      </c>
      <c r="C12" s="25" t="s">
        <v>48</v>
      </c>
      <c r="D12" s="25" t="s">
        <v>48</v>
      </c>
      <c r="E12" s="25" t="s">
        <v>48</v>
      </c>
      <c r="K12" s="7">
        <v>0</v>
      </c>
    </row>
    <row r="13" spans="1:12" x14ac:dyDescent="0.25">
      <c r="A13" s="1">
        <v>12</v>
      </c>
      <c r="B13" s="1" t="s">
        <v>40</v>
      </c>
      <c r="C13" s="25" t="s">
        <v>48</v>
      </c>
      <c r="D13" s="25" t="s">
        <v>48</v>
      </c>
      <c r="E13" s="25" t="s">
        <v>48</v>
      </c>
      <c r="K13" s="7">
        <v>0</v>
      </c>
    </row>
    <row r="14" spans="1:12" x14ac:dyDescent="0.25">
      <c r="A14" s="1">
        <v>13</v>
      </c>
      <c r="B14" s="1" t="s">
        <v>30</v>
      </c>
      <c r="C14" s="25" t="s">
        <v>48</v>
      </c>
      <c r="D14" s="25" t="s">
        <v>48</v>
      </c>
      <c r="E14" s="25" t="s">
        <v>48</v>
      </c>
      <c r="K14" s="7" t="s">
        <v>27</v>
      </c>
    </row>
    <row r="15" spans="1:12" x14ac:dyDescent="0.25">
      <c r="A15" s="1">
        <v>14</v>
      </c>
      <c r="B15" s="1" t="s">
        <v>30</v>
      </c>
      <c r="C15" s="25" t="s">
        <v>48</v>
      </c>
      <c r="D15" s="25" t="s">
        <v>48</v>
      </c>
      <c r="E15" s="25" t="s">
        <v>48</v>
      </c>
      <c r="K15" s="7" t="s">
        <v>27</v>
      </c>
    </row>
    <row r="16" spans="1:12" x14ac:dyDescent="0.25">
      <c r="A16" s="1">
        <v>15</v>
      </c>
      <c r="B16" s="1" t="s">
        <v>30</v>
      </c>
      <c r="K16" s="7" t="s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59FC4-3C1E-41A1-B547-571492442560}">
  <sheetPr codeName="Sheet6"/>
  <dimension ref="A1:L16"/>
  <sheetViews>
    <sheetView workbookViewId="0">
      <selection activeCell="L3" sqref="L3"/>
    </sheetView>
  </sheetViews>
  <sheetFormatPr defaultRowHeight="15" x14ac:dyDescent="0.25"/>
  <cols>
    <col min="1" max="1" width="9.140625" style="1"/>
    <col min="2" max="2" width="15.5703125" style="1" bestFit="1" customWidth="1"/>
    <col min="3" max="5" width="9.7109375" style="5" customWidth="1"/>
    <col min="6" max="10" width="15.5703125" style="1" customWidth="1"/>
    <col min="11" max="11" width="10.28515625" style="8" bestFit="1" customWidth="1"/>
    <col min="12" max="12" width="11.28515625" style="9" bestFit="1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19</v>
      </c>
      <c r="G1" s="2" t="s">
        <v>20</v>
      </c>
      <c r="H1" s="2" t="s">
        <v>21</v>
      </c>
      <c r="I1" s="2" t="s">
        <v>22</v>
      </c>
      <c r="J1" s="2" t="s">
        <v>23</v>
      </c>
      <c r="K1" s="2" t="s">
        <v>24</v>
      </c>
      <c r="L1" s="2" t="s">
        <v>26</v>
      </c>
    </row>
    <row r="2" spans="1:12" x14ac:dyDescent="0.25">
      <c r="A2" s="1">
        <v>1</v>
      </c>
      <c r="B2" s="1" t="s">
        <v>5</v>
      </c>
      <c r="K2" s="7">
        <v>0</v>
      </c>
      <c r="L2" s="8">
        <v>80</v>
      </c>
    </row>
    <row r="3" spans="1:12" x14ac:dyDescent="0.25">
      <c r="A3" s="1">
        <v>2</v>
      </c>
      <c r="B3" s="1" t="s">
        <v>6</v>
      </c>
      <c r="K3" s="7">
        <v>0</v>
      </c>
    </row>
    <row r="4" spans="1:12" x14ac:dyDescent="0.25">
      <c r="A4" s="1">
        <v>3</v>
      </c>
      <c r="B4" s="1" t="s">
        <v>7</v>
      </c>
      <c r="K4" s="7">
        <v>0</v>
      </c>
    </row>
    <row r="5" spans="1:12" x14ac:dyDescent="0.25">
      <c r="A5" s="1">
        <v>4</v>
      </c>
      <c r="B5" s="1" t="s">
        <v>8</v>
      </c>
      <c r="D5" s="5" t="s">
        <v>14</v>
      </c>
      <c r="K5" s="7">
        <v>50</v>
      </c>
    </row>
    <row r="6" spans="1:12" x14ac:dyDescent="0.25">
      <c r="A6" s="1">
        <v>5</v>
      </c>
      <c r="B6" s="1" t="s">
        <v>9</v>
      </c>
      <c r="G6" s="1" t="s">
        <v>36</v>
      </c>
      <c r="K6" s="7">
        <v>30</v>
      </c>
    </row>
    <row r="7" spans="1:12" x14ac:dyDescent="0.25">
      <c r="A7" s="1">
        <v>6</v>
      </c>
      <c r="B7" s="1" t="s">
        <v>10</v>
      </c>
      <c r="K7" s="7">
        <v>0</v>
      </c>
    </row>
    <row r="8" spans="1:12" x14ac:dyDescent="0.25">
      <c r="A8" s="1">
        <v>7</v>
      </c>
      <c r="B8" s="1" t="s">
        <v>29</v>
      </c>
      <c r="K8" s="7">
        <v>0</v>
      </c>
    </row>
    <row r="9" spans="1:12" x14ac:dyDescent="0.25">
      <c r="A9" s="1">
        <v>8</v>
      </c>
      <c r="B9" s="1" t="s">
        <v>11</v>
      </c>
      <c r="K9" s="7">
        <v>0</v>
      </c>
    </row>
    <row r="10" spans="1:12" x14ac:dyDescent="0.25">
      <c r="A10" s="1">
        <v>9</v>
      </c>
      <c r="B10" s="1" t="s">
        <v>12</v>
      </c>
      <c r="K10" s="7">
        <v>0</v>
      </c>
    </row>
    <row r="11" spans="1:12" x14ac:dyDescent="0.25">
      <c r="A11" s="1">
        <v>10</v>
      </c>
      <c r="B11" s="1" t="s">
        <v>13</v>
      </c>
      <c r="K11" s="7">
        <v>0</v>
      </c>
    </row>
    <row r="12" spans="1:12" x14ac:dyDescent="0.25">
      <c r="A12" s="1">
        <v>11</v>
      </c>
      <c r="B12" s="1" t="s">
        <v>30</v>
      </c>
      <c r="K12" s="7" t="s">
        <v>27</v>
      </c>
    </row>
    <row r="13" spans="1:12" x14ac:dyDescent="0.25">
      <c r="A13" s="1">
        <v>12</v>
      </c>
      <c r="B13" s="1" t="s">
        <v>30</v>
      </c>
      <c r="K13" s="7" t="s">
        <v>27</v>
      </c>
    </row>
    <row r="14" spans="1:12" x14ac:dyDescent="0.25">
      <c r="A14" s="1">
        <v>13</v>
      </c>
      <c r="B14" s="1" t="s">
        <v>30</v>
      </c>
      <c r="K14" s="7" t="s">
        <v>27</v>
      </c>
    </row>
    <row r="15" spans="1:12" x14ac:dyDescent="0.25">
      <c r="A15" s="1">
        <v>14</v>
      </c>
      <c r="B15" s="1" t="s">
        <v>30</v>
      </c>
      <c r="K15" s="7" t="s">
        <v>27</v>
      </c>
    </row>
    <row r="16" spans="1:12" x14ac:dyDescent="0.25">
      <c r="A16" s="1">
        <v>15</v>
      </c>
      <c r="B16" s="1" t="s">
        <v>30</v>
      </c>
      <c r="K16" s="7" t="s">
        <v>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57F83-74C3-48F2-B002-DA2251B64DA0}">
  <sheetPr codeName="Sheet7"/>
  <dimension ref="A1:L16"/>
  <sheetViews>
    <sheetView workbookViewId="0">
      <selection activeCell="L3" sqref="L3"/>
    </sheetView>
  </sheetViews>
  <sheetFormatPr defaultRowHeight="15" x14ac:dyDescent="0.25"/>
  <cols>
    <col min="1" max="1" width="9.140625" style="1"/>
    <col min="2" max="2" width="15.5703125" style="1" bestFit="1" customWidth="1"/>
    <col min="3" max="5" width="9.7109375" style="5" customWidth="1"/>
    <col min="6" max="10" width="15.5703125" style="1" customWidth="1"/>
    <col min="11" max="11" width="10.28515625" style="8" bestFit="1" customWidth="1"/>
    <col min="12" max="12" width="11.28515625" style="9" bestFit="1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19</v>
      </c>
      <c r="G1" s="2" t="s">
        <v>20</v>
      </c>
      <c r="H1" s="2" t="s">
        <v>21</v>
      </c>
      <c r="I1" s="2" t="s">
        <v>22</v>
      </c>
      <c r="J1" s="2" t="s">
        <v>23</v>
      </c>
      <c r="K1" s="2" t="s">
        <v>24</v>
      </c>
      <c r="L1" s="2" t="s">
        <v>26</v>
      </c>
    </row>
    <row r="2" spans="1:12" x14ac:dyDescent="0.25">
      <c r="A2" s="1">
        <v>1</v>
      </c>
      <c r="B2" s="1" t="s">
        <v>5</v>
      </c>
      <c r="K2" s="7">
        <v>0</v>
      </c>
      <c r="L2" s="8">
        <v>205</v>
      </c>
    </row>
    <row r="3" spans="1:12" x14ac:dyDescent="0.25">
      <c r="A3" s="1">
        <v>2</v>
      </c>
      <c r="B3" s="1" t="s">
        <v>6</v>
      </c>
      <c r="K3" s="7">
        <v>0</v>
      </c>
    </row>
    <row r="4" spans="1:12" x14ac:dyDescent="0.25">
      <c r="A4" s="1">
        <v>3</v>
      </c>
      <c r="B4" s="1" t="s">
        <v>7</v>
      </c>
      <c r="E4" s="5" t="s">
        <v>14</v>
      </c>
      <c r="I4" s="1" t="s">
        <v>37</v>
      </c>
      <c r="K4" s="7">
        <v>60</v>
      </c>
    </row>
    <row r="5" spans="1:12" x14ac:dyDescent="0.25">
      <c r="A5" s="1">
        <v>4</v>
      </c>
      <c r="B5" s="1" t="s">
        <v>8</v>
      </c>
      <c r="C5" s="5" t="s">
        <v>14</v>
      </c>
      <c r="K5" s="7">
        <v>25</v>
      </c>
    </row>
    <row r="6" spans="1:12" x14ac:dyDescent="0.25">
      <c r="A6" s="1">
        <v>5</v>
      </c>
      <c r="B6" s="1" t="s">
        <v>9</v>
      </c>
      <c r="K6" s="7">
        <v>0</v>
      </c>
    </row>
    <row r="7" spans="1:12" x14ac:dyDescent="0.25">
      <c r="A7" s="1">
        <v>6</v>
      </c>
      <c r="B7" s="1" t="s">
        <v>10</v>
      </c>
      <c r="G7" s="1" t="s">
        <v>36</v>
      </c>
      <c r="K7" s="7">
        <v>30</v>
      </c>
    </row>
    <row r="8" spans="1:12" x14ac:dyDescent="0.25">
      <c r="A8" s="1">
        <v>7</v>
      </c>
      <c r="B8" s="1" t="s">
        <v>29</v>
      </c>
      <c r="K8" s="7">
        <v>0</v>
      </c>
    </row>
    <row r="9" spans="1:12" x14ac:dyDescent="0.25">
      <c r="A9" s="1">
        <v>8</v>
      </c>
      <c r="B9" s="1" t="s">
        <v>11</v>
      </c>
      <c r="K9" s="7">
        <v>0</v>
      </c>
    </row>
    <row r="10" spans="1:12" x14ac:dyDescent="0.25">
      <c r="A10" s="1">
        <v>9</v>
      </c>
      <c r="B10" s="1" t="s">
        <v>12</v>
      </c>
      <c r="D10" s="5" t="s">
        <v>14</v>
      </c>
      <c r="I10" s="1" t="s">
        <v>31</v>
      </c>
      <c r="K10" s="7">
        <v>90</v>
      </c>
    </row>
    <row r="11" spans="1:12" x14ac:dyDescent="0.25">
      <c r="A11" s="1">
        <v>10</v>
      </c>
      <c r="B11" s="1" t="s">
        <v>13</v>
      </c>
      <c r="K11" s="7">
        <v>0</v>
      </c>
    </row>
    <row r="12" spans="1:12" x14ac:dyDescent="0.25">
      <c r="A12" s="1">
        <v>11</v>
      </c>
      <c r="B12" s="1" t="s">
        <v>30</v>
      </c>
      <c r="K12" s="7" t="s">
        <v>27</v>
      </c>
    </row>
    <row r="13" spans="1:12" x14ac:dyDescent="0.25">
      <c r="A13" s="1">
        <v>12</v>
      </c>
      <c r="B13" s="1" t="s">
        <v>30</v>
      </c>
      <c r="K13" s="7" t="s">
        <v>27</v>
      </c>
    </row>
    <row r="14" spans="1:12" x14ac:dyDescent="0.25">
      <c r="A14" s="1">
        <v>13</v>
      </c>
      <c r="B14" s="1" t="s">
        <v>30</v>
      </c>
      <c r="K14" s="7" t="s">
        <v>27</v>
      </c>
    </row>
    <row r="15" spans="1:12" x14ac:dyDescent="0.25">
      <c r="A15" s="1">
        <v>14</v>
      </c>
      <c r="B15" s="1" t="s">
        <v>30</v>
      </c>
      <c r="K15" s="7" t="s">
        <v>27</v>
      </c>
    </row>
    <row r="16" spans="1:12" x14ac:dyDescent="0.25">
      <c r="A16" s="1">
        <v>15</v>
      </c>
      <c r="B16" s="1" t="s">
        <v>30</v>
      </c>
      <c r="K16" s="7" t="s">
        <v>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2BBBD-1FD4-4A8C-99DC-BC6BDCC7E9C7}">
  <sheetPr codeName="Sheet3"/>
  <dimension ref="A1:L16"/>
  <sheetViews>
    <sheetView workbookViewId="0">
      <selection activeCell="L3" sqref="L3"/>
    </sheetView>
  </sheetViews>
  <sheetFormatPr defaultRowHeight="15" x14ac:dyDescent="0.25"/>
  <cols>
    <col min="1" max="1" width="9.140625" style="1"/>
    <col min="2" max="2" width="15.5703125" style="1" bestFit="1" customWidth="1"/>
    <col min="3" max="5" width="9.7109375" style="5" customWidth="1"/>
    <col min="6" max="10" width="15.5703125" style="1" customWidth="1"/>
    <col min="11" max="11" width="10.28515625" style="8" bestFit="1" customWidth="1"/>
    <col min="12" max="12" width="11.28515625" style="9" bestFit="1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19</v>
      </c>
      <c r="G1" s="2" t="s">
        <v>20</v>
      </c>
      <c r="H1" s="2" t="s">
        <v>21</v>
      </c>
      <c r="I1" s="2" t="s">
        <v>22</v>
      </c>
      <c r="J1" s="2" t="s">
        <v>23</v>
      </c>
      <c r="K1" s="2" t="s">
        <v>24</v>
      </c>
      <c r="L1" s="2" t="s">
        <v>26</v>
      </c>
    </row>
    <row r="2" spans="1:12" x14ac:dyDescent="0.25">
      <c r="A2" s="1">
        <v>1</v>
      </c>
      <c r="B2" s="1" t="s">
        <v>5</v>
      </c>
      <c r="K2" s="7">
        <v>0</v>
      </c>
      <c r="L2" s="8">
        <v>140</v>
      </c>
    </row>
    <row r="3" spans="1:12" x14ac:dyDescent="0.25">
      <c r="A3" s="1">
        <v>2</v>
      </c>
      <c r="B3" s="1" t="s">
        <v>6</v>
      </c>
      <c r="K3" s="7">
        <v>0</v>
      </c>
    </row>
    <row r="4" spans="1:12" x14ac:dyDescent="0.25">
      <c r="A4" s="1">
        <v>3</v>
      </c>
      <c r="B4" s="1" t="s">
        <v>7</v>
      </c>
      <c r="K4" s="7">
        <v>0</v>
      </c>
    </row>
    <row r="5" spans="1:12" x14ac:dyDescent="0.25">
      <c r="A5" s="1">
        <v>4</v>
      </c>
      <c r="B5" s="1" t="s">
        <v>8</v>
      </c>
      <c r="K5" s="7">
        <v>0</v>
      </c>
    </row>
    <row r="6" spans="1:12" x14ac:dyDescent="0.25">
      <c r="A6" s="1">
        <v>5</v>
      </c>
      <c r="B6" s="1" t="s">
        <v>9</v>
      </c>
      <c r="C6" s="5" t="s">
        <v>14</v>
      </c>
      <c r="G6" s="1" t="s">
        <v>31</v>
      </c>
      <c r="K6" s="7">
        <v>65</v>
      </c>
    </row>
    <row r="7" spans="1:12" x14ac:dyDescent="0.25">
      <c r="A7" s="1">
        <v>6</v>
      </c>
      <c r="B7" s="1" t="s">
        <v>10</v>
      </c>
      <c r="K7" s="7">
        <v>0</v>
      </c>
    </row>
    <row r="8" spans="1:12" x14ac:dyDescent="0.25">
      <c r="A8" s="1">
        <v>7</v>
      </c>
      <c r="B8" s="1" t="s">
        <v>29</v>
      </c>
      <c r="C8" s="5" t="s">
        <v>14</v>
      </c>
      <c r="D8" s="5" t="s">
        <v>14</v>
      </c>
      <c r="K8" s="7">
        <v>75</v>
      </c>
    </row>
    <row r="9" spans="1:12" x14ac:dyDescent="0.25">
      <c r="A9" s="1">
        <v>8</v>
      </c>
      <c r="B9" s="1" t="s">
        <v>11</v>
      </c>
      <c r="K9" s="7">
        <v>0</v>
      </c>
    </row>
    <row r="10" spans="1:12" x14ac:dyDescent="0.25">
      <c r="A10" s="1">
        <v>9</v>
      </c>
      <c r="B10" s="1" t="s">
        <v>12</v>
      </c>
      <c r="K10" s="7">
        <v>0</v>
      </c>
    </row>
    <row r="11" spans="1:12" x14ac:dyDescent="0.25">
      <c r="A11" s="1">
        <v>10</v>
      </c>
      <c r="B11" s="1" t="s">
        <v>13</v>
      </c>
      <c r="K11" s="7">
        <v>0</v>
      </c>
    </row>
    <row r="12" spans="1:12" x14ac:dyDescent="0.25">
      <c r="A12" s="1">
        <v>11</v>
      </c>
      <c r="B12" s="1" t="s">
        <v>30</v>
      </c>
      <c r="K12" s="7" t="s">
        <v>27</v>
      </c>
    </row>
    <row r="13" spans="1:12" x14ac:dyDescent="0.25">
      <c r="A13" s="1">
        <v>12</v>
      </c>
      <c r="B13" s="1" t="s">
        <v>30</v>
      </c>
      <c r="K13" s="7" t="s">
        <v>27</v>
      </c>
    </row>
    <row r="14" spans="1:12" x14ac:dyDescent="0.25">
      <c r="A14" s="1">
        <v>13</v>
      </c>
      <c r="B14" s="1" t="s">
        <v>30</v>
      </c>
      <c r="K14" s="7" t="s">
        <v>27</v>
      </c>
    </row>
    <row r="15" spans="1:12" x14ac:dyDescent="0.25">
      <c r="A15" s="1">
        <v>14</v>
      </c>
      <c r="B15" s="1" t="s">
        <v>30</v>
      </c>
      <c r="K15" s="7" t="s">
        <v>27</v>
      </c>
    </row>
    <row r="16" spans="1:12" x14ac:dyDescent="0.25">
      <c r="A16" s="1">
        <v>15</v>
      </c>
      <c r="B16" s="1" t="s">
        <v>30</v>
      </c>
      <c r="K16" s="7" t="s">
        <v>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26C82-87C4-48F1-B5EE-9AAD8F49C648}">
  <sheetPr codeName="Sheet4"/>
  <dimension ref="A1:L16"/>
  <sheetViews>
    <sheetView workbookViewId="0">
      <selection activeCell="L3" sqref="L3"/>
    </sheetView>
  </sheetViews>
  <sheetFormatPr defaultRowHeight="15" x14ac:dyDescent="0.25"/>
  <cols>
    <col min="1" max="1" width="9.140625" style="1"/>
    <col min="2" max="2" width="15.5703125" style="1" bestFit="1" customWidth="1"/>
    <col min="3" max="5" width="9.7109375" style="5" customWidth="1"/>
    <col min="6" max="10" width="15.5703125" style="1" customWidth="1"/>
    <col min="11" max="11" width="10.28515625" style="8" bestFit="1" customWidth="1"/>
    <col min="12" max="12" width="11.28515625" style="9" bestFit="1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19</v>
      </c>
      <c r="G1" s="2" t="s">
        <v>20</v>
      </c>
      <c r="H1" s="2" t="s">
        <v>21</v>
      </c>
      <c r="I1" s="2" t="s">
        <v>22</v>
      </c>
      <c r="J1" s="2" t="s">
        <v>23</v>
      </c>
      <c r="K1" s="2" t="s">
        <v>24</v>
      </c>
      <c r="L1" s="2" t="s">
        <v>26</v>
      </c>
    </row>
    <row r="2" spans="1:12" x14ac:dyDescent="0.25">
      <c r="A2" s="1">
        <v>1</v>
      </c>
      <c r="B2" s="1" t="s">
        <v>5</v>
      </c>
      <c r="K2" s="7">
        <v>0</v>
      </c>
      <c r="L2" s="8">
        <v>125</v>
      </c>
    </row>
    <row r="3" spans="1:12" x14ac:dyDescent="0.25">
      <c r="A3" s="1">
        <v>2</v>
      </c>
      <c r="B3" s="1" t="s">
        <v>6</v>
      </c>
      <c r="K3" s="7">
        <v>0</v>
      </c>
    </row>
    <row r="4" spans="1:12" x14ac:dyDescent="0.25">
      <c r="A4" s="1">
        <v>3</v>
      </c>
      <c r="B4" s="1" t="s">
        <v>7</v>
      </c>
      <c r="C4" s="5" t="s">
        <v>14</v>
      </c>
      <c r="K4" s="7">
        <v>25</v>
      </c>
    </row>
    <row r="5" spans="1:12" x14ac:dyDescent="0.25">
      <c r="A5" s="1">
        <v>4</v>
      </c>
      <c r="B5" s="1" t="s">
        <v>8</v>
      </c>
      <c r="K5" s="7">
        <v>0</v>
      </c>
    </row>
    <row r="6" spans="1:12" x14ac:dyDescent="0.25">
      <c r="A6" s="1">
        <v>5</v>
      </c>
      <c r="B6" s="1" t="s">
        <v>9</v>
      </c>
      <c r="K6" s="7">
        <v>0</v>
      </c>
    </row>
    <row r="7" spans="1:12" x14ac:dyDescent="0.25">
      <c r="A7" s="1">
        <v>6</v>
      </c>
      <c r="B7" s="1" t="s">
        <v>10</v>
      </c>
      <c r="K7" s="7">
        <v>0</v>
      </c>
    </row>
    <row r="8" spans="1:12" x14ac:dyDescent="0.25">
      <c r="A8" s="1">
        <v>7</v>
      </c>
      <c r="B8" s="1" t="s">
        <v>29</v>
      </c>
      <c r="K8" s="7">
        <v>0</v>
      </c>
    </row>
    <row r="9" spans="1:12" x14ac:dyDescent="0.25">
      <c r="A9" s="1">
        <v>8</v>
      </c>
      <c r="B9" s="1" t="s">
        <v>11</v>
      </c>
      <c r="D9" s="5" t="s">
        <v>14</v>
      </c>
      <c r="K9" s="7">
        <v>50</v>
      </c>
    </row>
    <row r="10" spans="1:12" x14ac:dyDescent="0.25">
      <c r="A10" s="1">
        <v>9</v>
      </c>
      <c r="B10" s="1" t="s">
        <v>12</v>
      </c>
      <c r="K10" s="7">
        <v>0</v>
      </c>
    </row>
    <row r="11" spans="1:12" x14ac:dyDescent="0.25">
      <c r="A11" s="1">
        <v>10</v>
      </c>
      <c r="B11" s="1" t="s">
        <v>13</v>
      </c>
      <c r="E11" s="5" t="s">
        <v>14</v>
      </c>
      <c r="K11" s="7">
        <v>50</v>
      </c>
    </row>
    <row r="12" spans="1:12" x14ac:dyDescent="0.25">
      <c r="A12" s="1">
        <v>11</v>
      </c>
      <c r="B12" s="1" t="s">
        <v>30</v>
      </c>
      <c r="K12" s="7" t="s">
        <v>27</v>
      </c>
    </row>
    <row r="13" spans="1:12" x14ac:dyDescent="0.25">
      <c r="A13" s="1">
        <v>12</v>
      </c>
      <c r="B13" s="1" t="s">
        <v>30</v>
      </c>
      <c r="K13" s="7" t="s">
        <v>27</v>
      </c>
    </row>
    <row r="14" spans="1:12" x14ac:dyDescent="0.25">
      <c r="A14" s="1">
        <v>13</v>
      </c>
      <c r="B14" s="1" t="s">
        <v>30</v>
      </c>
      <c r="K14" s="7" t="s">
        <v>27</v>
      </c>
    </row>
    <row r="15" spans="1:12" x14ac:dyDescent="0.25">
      <c r="A15" s="1">
        <v>14</v>
      </c>
      <c r="B15" s="1" t="s">
        <v>30</v>
      </c>
      <c r="K15" s="7" t="s">
        <v>27</v>
      </c>
    </row>
    <row r="16" spans="1:12" x14ac:dyDescent="0.25">
      <c r="A16" s="1">
        <v>15</v>
      </c>
      <c r="B16" s="1" t="s">
        <v>30</v>
      </c>
      <c r="K16" s="7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Boarder-List</vt:lpstr>
      <vt:lpstr>BoarderDateWise-Sales</vt:lpstr>
      <vt:lpstr>Boarder-Sales</vt:lpstr>
      <vt:lpstr>Today_07-01-25</vt:lpstr>
      <vt:lpstr>06-01-25</vt:lpstr>
      <vt:lpstr>05-01-25</vt:lpstr>
      <vt:lpstr>04-01-25</vt:lpstr>
      <vt:lpstr>03-01-25</vt:lpstr>
      <vt:lpstr>02-01-25</vt:lpstr>
      <vt:lpstr>01-01-25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SURJA SANYAL</cp:lastModifiedBy>
  <dcterms:created xsi:type="dcterms:W3CDTF">2015-06-05T18:17:20Z</dcterms:created>
  <dcterms:modified xsi:type="dcterms:W3CDTF">2025-01-29T09:11:21Z</dcterms:modified>
</cp:coreProperties>
</file>