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Data\Dynamic Data\PhD @ IIT Guwahati and IIT BHU\General Work\"/>
    </mc:Choice>
  </mc:AlternateContent>
  <xr:revisionPtr revIDLastSave="0" documentId="13_ncr:1_{28864C2B-1BB5-4AEF-B819-E55E617FBFC4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Boarder-List" sheetId="2" r:id="rId1"/>
    <sheet name="BoarderDateWise-Sales" sheetId="17" r:id="rId2"/>
    <sheet name="Boarder-Sales" sheetId="16" r:id="rId3"/>
    <sheet name="Today_05-01-25" sheetId="1" r:id="rId4"/>
    <sheet name="04-01-25" sheetId="21" r:id="rId5"/>
    <sheet name="03-01-25" sheetId="20" r:id="rId6"/>
    <sheet name="02-01-25" sheetId="19" r:id="rId7"/>
    <sheet name="01-01-25" sheetId="1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7" l="1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B4" i="1" l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B12" i="1" l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0" i="1" a="1"/>
  <c r="N8" i="1" a="1"/>
  <c r="N13" i="1" a="1"/>
  <c r="N11" i="1" a="1"/>
  <c r="N5" i="1" a="1"/>
  <c r="N3" i="1" a="1"/>
  <c r="N12" i="1" a="1"/>
  <c r="N4" i="1" a="1"/>
  <c r="N2" i="1" a="1"/>
  <c r="N7" i="1" a="1"/>
  <c r="N9" i="1" a="1"/>
  <c r="N6" i="1" a="1"/>
  <c r="N2" i="1" l="1"/>
  <c r="D2" i="17" s="1"/>
  <c r="N10" i="1"/>
  <c r="D10" i="17" s="1"/>
  <c r="N9" i="1"/>
  <c r="D9" i="17" s="1"/>
  <c r="N12" i="1"/>
  <c r="D12" i="17" s="1"/>
  <c r="N6" i="1"/>
  <c r="D6" i="17" s="1"/>
  <c r="N7" i="1"/>
  <c r="D7" i="17" s="1"/>
  <c r="N13" i="1"/>
  <c r="D13" i="17" s="1"/>
  <c r="N4" i="1"/>
  <c r="D4" i="17" s="1"/>
  <c r="N11" i="1"/>
  <c r="D11" i="17" s="1"/>
  <c r="N5" i="1"/>
  <c r="D5" i="17" s="1"/>
  <c r="N8" i="1"/>
  <c r="D8" i="17" s="1"/>
  <c r="N3" i="1"/>
  <c r="D3" i="17" s="1"/>
  <c r="C9" i="17"/>
  <c r="C2" i="17"/>
  <c r="C10" i="17"/>
  <c r="C13" i="17"/>
  <c r="C4" i="17"/>
  <c r="C5" i="17"/>
  <c r="C11" i="17"/>
  <c r="C6" i="17"/>
  <c r="C8" i="17"/>
  <c r="C3" i="17"/>
  <c r="C7" i="17"/>
  <c r="C12" i="17"/>
  <c r="C2" i="16" l="1"/>
  <c r="C4" i="16"/>
  <c r="C13" i="16"/>
  <c r="C7" i="16"/>
  <c r="C6" i="16"/>
  <c r="C3" i="16"/>
  <c r="C12" i="16"/>
  <c r="C9" i="16"/>
  <c r="C8" i="16"/>
  <c r="C5" i="16"/>
  <c r="C10" i="16"/>
  <c r="C11" i="16"/>
  <c r="O2" i="1"/>
  <c r="D2" i="1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<sst xmlns="http://schemas.openxmlformats.org/spreadsheetml/2006/main" count="440" uniqueCount="38">
  <si>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</si>
  <si>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</si>
  <si>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</si>
  <si>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</si>
  <si>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</si>
  <si>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</si>
  <si>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</si>
  <si>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</si>
  <si>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</si>
  <si>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</si>
  <si>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</si>
  <si>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</si>
  <si>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</si>
  <si>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</si>
  <si>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</si>
  <si>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</si>
  <si>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</si>
  <si>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</si>
  <si>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</si>
  <si>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</si>
  <si>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</si>
  <si>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</si>
  <si>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</si>
  <si>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</si>
  <si>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</si>
  <si>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</si>
  <si>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</si>
  <si>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Shweta</t>
  </si>
  <si>
    <t>Pratik Sir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</si>
  <si>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</si>
  <si>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</si>
  <si>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</si>
  <si>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</si>
  <si>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</si>
  <si>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</si>
  <si>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</si>
  <si>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</si>
  <si>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**Unoccupied**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</si>
</sst>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</cellXfs>
  <cellStyles count="1">
    <cellStyle name="Normal" xfId="0" builtinId="0"/>
  </cellStyles>
  <dxfs count="25"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F$2" max="100" page="10" val="0"/>
</file>

<file path=xl/ctrlProps/ctrlProp3.xml><?xml version="1.0" encoding="utf-8"?>
<formControlPr xmlns="http://schemas.microsoft.com/office/spreadsheetml/2009/9/main" objectType="Spin" dx="22" fmlaLink="$F$3" max="100" page="10" val="0"/>
</file>

<file path=xl/ctrlProps/ctrlProp4.xml><?xml version="1.0" encoding="utf-8"?>
<formControlPr xmlns="http://schemas.microsoft.com/office/spreadsheetml/2009/9/main" objectType="Spin" dx="22" fmlaLink="$F$4" max="100" page="10" val="0"/>
</file>

<file path=xl/ctrlProps/ctrlProp5.xml><?xml version="1.0" encoding="utf-8"?>
<formControlPr xmlns="http://schemas.microsoft.com/office/spreadsheetml/2009/9/main" objectType="Spin" dx="22" fmlaLink="$F$5" max="100" page="10" val="0"/>
</file>

<file path=xl/ctrlProps/ctrlProp6.xml><?xml version="1.0" encoding="utf-8"?>
<formControlPr xmlns="http://schemas.microsoft.com/office/spreadsheetml/2009/9/main" objectType="Spin" dx="22" fmlaLink="$F$6" max="100" page="10" val="0"/>
</file>

<file path=xl/ctrlProps/ctrlProp7.xml><?xml version="1.0" encoding="utf-8"?>
<formControlPr xmlns="http://schemas.microsoft.com/office/spreadsheetml/2009/9/main" objectType="Spin" dx="22" fmlaLink="$F$7" max="100" page="10" val="0"/>
</file>

<file path=xl/ctrlProps/ctrlProp8.xml><?xml version="1.0" encoding="utf-8"?>
<formControlPr xmlns="http://schemas.microsoft.com/office/spreadsheetml/2009/9/main" objectType="Spin" dx="22" fmlaLink="$F$8" max="100" page="10" val="0"/>
</file>

<file path=xl/ctrlProps/ctrlProp9.xml><?xml version="1.0" encoding="utf-8"?>
<formControlPr xmlns="http://schemas.microsoft.com/office/spreadsheetml/2009/9/main" objectType="Spin" dx="22" fmlaLink="$F$9" max="100" page="10" val="0"/>
</file>

<file path=xl/ctrlProps/ctrlProp10.xml><?xml version="1.0" encoding="utf-8"?>
<formControlPr xmlns="http://schemas.microsoft.com/office/spreadsheetml/2009/9/main" objectType="Spin" dx="22" fmlaLink="$F$10" max="100" page="10" val="0"/>
</file>

<file path=xl/ctrlProps/ctrlProp11.xml><?xml version="1.0" encoding="utf-8"?>
<formControlPr xmlns="http://schemas.microsoft.com/office/spreadsheetml/2009/9/main" objectType="Spin" dx="22" fmlaLink="$F$11" max="100" page="10" val="0"/>
</file>

<file path=xl/ctrlProps/ctrlProp12.xml><?xml version="1.0" encoding="utf-8"?>
<formControlPr xmlns="http://schemas.microsoft.com/office/spreadsheetml/2009/9/main" objectType="Spin" dx="22" fmlaLink="$F$12" max="100" page="10" val="0"/>
</file>

<file path=xl/ctrlProps/ctrlProp13.xml><?xml version="1.0" encoding="utf-8"?>
<formControlPr xmlns="http://schemas.microsoft.com/office/spreadsheetml/2009/9/main" objectType="Spin" dx="22" fmlaLink="$F$13" max="100" page="10" val="0"/>
</file>

<file path=xl/ctrlProps/ctrlProp14.xml><?xml version="1.0" encoding="utf-8"?>
<formControlPr xmlns="http://schemas.microsoft.com/office/spreadsheetml/2009/9/main" objectType="Spin" dx="22" fmlaLink="$G$2" max="100" page="10" val="0"/>
</file>

<file path=xl/ctrlProps/ctrlProp15.xml><?xml version="1.0" encoding="utf-8"?>
<formControlPr xmlns="http://schemas.microsoft.com/office/spreadsheetml/2009/9/main" objectType="Spin" dx="22" fmlaLink="$G$3" max="100" page="10" val="0"/>
</file>

<file path=xl/ctrlProps/ctrlProp16.xml><?xml version="1.0" encoding="utf-8"?>
<formControlPr xmlns="http://schemas.microsoft.com/office/spreadsheetml/2009/9/main" objectType="Spin" dx="22" fmlaLink="$G$4" max="100" page="10" val="0"/>
</file>

<file path=xl/ctrlProps/ctrlProp17.xml><?xml version="1.0" encoding="utf-8"?>
<formControlPr xmlns="http://schemas.microsoft.com/office/spreadsheetml/2009/9/main" objectType="Spin" dx="22" fmlaLink="$G$5" max="100" page="10" val="0"/>
</file>

<file path=xl/ctrlProps/ctrlProp18.xml><?xml version="1.0" encoding="utf-8"?>
<formControlPr xmlns="http://schemas.microsoft.com/office/spreadsheetml/2009/9/main" objectType="Spin" dx="22" fmlaLink="$G$6" max="100" page="10" val="0"/>
</file>

<file path=xl/ctrlProps/ctrlProp19.xml><?xml version="1.0" encoding="utf-8"?>
<formControlPr xmlns="http://schemas.microsoft.com/office/spreadsheetml/2009/9/main" objectType="Spin" dx="22" fmlaLink="$G$7" max="100" page="10" val="0"/>
</file>

<file path=xl/ctrlProps/ctrlProp20.xml><?xml version="1.0" encoding="utf-8"?>
<formControlPr xmlns="http://schemas.microsoft.com/office/spreadsheetml/2009/9/main" objectType="Spin" dx="22" fmlaLink="$G$8" max="100" page="10" val="0"/>
</file>

<file path=xl/ctrlProps/ctrlProp21.xml><?xml version="1.0" encoding="utf-8"?>
<formControlPr xmlns="http://schemas.microsoft.com/office/spreadsheetml/2009/9/main" objectType="Spin" dx="22" fmlaLink="$G$9" max="100" page="10" val="0"/>
</file>

<file path=xl/ctrlProps/ctrlProp22.xml><?xml version="1.0" encoding="utf-8"?>
<formControlPr xmlns="http://schemas.microsoft.com/office/spreadsheetml/2009/9/main" objectType="Spin" dx="22" fmlaLink="$G$10" max="100" page="10" val="0"/>
</file>

<file path=xl/ctrlProps/ctrlProp23.xml><?xml version="1.0" encoding="utf-8"?>
<formControlPr xmlns="http://schemas.microsoft.com/office/spreadsheetml/2009/9/main" objectType="Spin" dx="22" fmlaLink="$G$11" max="100" page="10" val="0"/>
</file>

<file path=xl/ctrlProps/ctrlProp24.xml><?xml version="1.0" encoding="utf-8"?>
<formControlPr xmlns="http://schemas.microsoft.com/office/spreadsheetml/2009/9/main" objectType="Spin" dx="22" fmlaLink="$G$12" max="100" page="10" val="0"/>
</file>

<file path=xl/ctrlProps/ctrlProp25.xml><?xml version="1.0" encoding="utf-8"?>
<formControlPr xmlns="http://schemas.microsoft.com/office/spreadsheetml/2009/9/main" objectType="Spin" dx="22" fmlaLink="$G$13" max="100" page="10" val="0"/>
</file>

<file path=xl/ctrlProps/ctrlProp26.xml><?xml version="1.0" encoding="utf-8"?>
<formControlPr xmlns="http://schemas.microsoft.com/office/spreadsheetml/2009/9/main" objectType="Spin" dx="22" fmlaLink="$H$2" max="100" page="10" val="0"/>
</file>

<file path=xl/ctrlProps/ctrlProp27.xml><?xml version="1.0" encoding="utf-8"?>
<formControlPr xmlns="http://schemas.microsoft.com/office/spreadsheetml/2009/9/main" objectType="Spin" dx="22" fmlaLink="$H$3" max="100" page="10" val="0"/>
</file>

<file path=xl/ctrlProps/ctrlProp28.xml><?xml version="1.0" encoding="utf-8"?>
<formControlPr xmlns="http://schemas.microsoft.com/office/spreadsheetml/2009/9/main" objectType="Spin" dx="22" fmlaLink="$H$4" max="100" page="10" val="0"/>
</file>

<file path=xl/ctrlProps/ctrlProp29.xml><?xml version="1.0" encoding="utf-8"?>
<formControlPr xmlns="http://schemas.microsoft.com/office/spreadsheetml/2009/9/main" objectType="Spin" dx="22" fmlaLink="$H$5" max="100" page="10" val="0"/>
</file>

<file path=xl/ctrlProps/ctrlProp30.xml><?xml version="1.0" encoding="utf-8"?>
<formControlPr xmlns="http://schemas.microsoft.com/office/spreadsheetml/2009/9/main" objectType="Spin" dx="22" fmlaLink="$H$6" max="100" page="10" val="0"/>
</file>

<file path=xl/ctrlProps/ctrlProp31.xml><?xml version="1.0" encoding="utf-8"?>
<formControlPr xmlns="http://schemas.microsoft.com/office/spreadsheetml/2009/9/main" objectType="Spin" dx="22" fmlaLink="$H$7" max="100" page="10" val="0"/>
</file>

<file path=xl/ctrlProps/ctrlProp32.xml><?xml version="1.0" encoding="utf-8"?>
<formControlPr xmlns="http://schemas.microsoft.com/office/spreadsheetml/2009/9/main" objectType="Spin" dx="22" fmlaLink="$H$8" max="100" page="10" val="0"/>
</file>

<file path=xl/ctrlProps/ctrlProp33.xml><?xml version="1.0" encoding="utf-8"?>
<formControlPr xmlns="http://schemas.microsoft.com/office/spreadsheetml/2009/9/main" objectType="Spin" dx="22" fmlaLink="$H$9" max="100" page="10" val="0"/>
</file>

<file path=xl/ctrlProps/ctrlProp34.xml><?xml version="1.0" encoding="utf-8"?>
<formControlPr xmlns="http://schemas.microsoft.com/office/spreadsheetml/2009/9/main" objectType="Spin" dx="22" fmlaLink="$H$10" max="100" page="10" val="0"/>
</file>

<file path=xl/ctrlProps/ctrlProp35.xml><?xml version="1.0" encoding="utf-8"?>
<formControlPr xmlns="http://schemas.microsoft.com/office/spreadsheetml/2009/9/main" objectType="Spin" dx="22" fmlaLink="$H$11" max="100" page="10" val="0"/>
</file>

<file path=xl/ctrlProps/ctrlProp36.xml><?xml version="1.0" encoding="utf-8"?>
<formControlPr xmlns="http://schemas.microsoft.com/office/spreadsheetml/2009/9/main" objectType="Spin" dx="22" fmlaLink="$H$12" max="100" page="10" val="0"/>
</file>

<file path=xl/ctrlProps/ctrlProp37.xml><?xml version="1.0" encoding="utf-8"?>
<formControlPr xmlns="http://schemas.microsoft.com/office/spreadsheetml/2009/9/main" objectType="Spin" dx="22" fmlaLink="$H$13" max="100" page="10" val="0"/>
</file>

<file path=xl/ctrlProps/ctrlProp38.xml><?xml version="1.0" encoding="utf-8"?>
<formControlPr xmlns="http://schemas.microsoft.com/office/spreadsheetml/2009/9/main" objectType="Spin" dx="22" fmlaLink="$I$2" max="100" page="10" val="0"/>
</file>

<file path=xl/ctrlProps/ctrlProp39.xml><?xml version="1.0" encoding="utf-8"?>
<formControlPr xmlns="http://schemas.microsoft.com/office/spreadsheetml/2009/9/main" objectType="Spin" dx="22" fmlaLink="$I$3" max="100" page="10" val="0"/>
</file>

<file path=xl/ctrlProps/ctrlProp40.xml><?xml version="1.0" encoding="utf-8"?>
<formControlPr xmlns="http://schemas.microsoft.com/office/spreadsheetml/2009/9/main" objectType="Spin" dx="22" fmlaLink="$I$4" max="100" page="10" val="0"/>
</file>

<file path=xl/ctrlProps/ctrlProp41.xml><?xml version="1.0" encoding="utf-8"?>
<formControlPr xmlns="http://schemas.microsoft.com/office/spreadsheetml/2009/9/main" objectType="Spin" dx="22" fmlaLink="$I$5" max="100" page="10" val="0"/>
</file>

<file path=xl/ctrlProps/ctrlProp42.xml><?xml version="1.0" encoding="utf-8"?>
<formControlPr xmlns="http://schemas.microsoft.com/office/spreadsheetml/2009/9/main" objectType="Spin" dx="22" fmlaLink="$I$6" max="100" page="10" val="0"/>
</file>

<file path=xl/ctrlProps/ctrlProp43.xml><?xml version="1.0" encoding="utf-8"?>
<formControlPr xmlns="http://schemas.microsoft.com/office/spreadsheetml/2009/9/main" objectType="Spin" dx="22" fmlaLink="$I$7" max="100" page="10" val="0"/>
</file>

<file path=xl/ctrlProps/ctrlProp44.xml><?xml version="1.0" encoding="utf-8"?>
<formControlPr xmlns="http://schemas.microsoft.com/office/spreadsheetml/2009/9/main" objectType="Spin" dx="22" fmlaLink="$I$8" max="100" page="10" val="0"/>
</file>

<file path=xl/ctrlProps/ctrlProp45.xml><?xml version="1.0" encoding="utf-8"?>
<formControlPr xmlns="http://schemas.microsoft.com/office/spreadsheetml/2009/9/main" objectType="Spin" dx="22" fmlaLink="$I$9" max="100" page="10" val="0"/>
</file>

<file path=xl/ctrlProps/ctrlProp46.xml><?xml version="1.0" encoding="utf-8"?>
<formControlPr xmlns="http://schemas.microsoft.com/office/spreadsheetml/2009/9/main" objectType="Spin" dx="22" fmlaLink="$I$10" max="100" page="10" val="0"/>
</file>

<file path=xl/ctrlProps/ctrlProp47.xml><?xml version="1.0" encoding="utf-8"?>
<formControlPr xmlns="http://schemas.microsoft.com/office/spreadsheetml/2009/9/main" objectType="Spin" dx="22" fmlaLink="$I$11" max="100" page="10" val="0"/>
</file>

<file path=xl/ctrlProps/ctrlProp48.xml><?xml version="1.0" encoding="utf-8"?>
<formControlPr xmlns="http://schemas.microsoft.com/office/spreadsheetml/2009/9/main" objectType="Spin" dx="22" fmlaLink="$I$12" max="100" page="10" val="0"/>
</file>

<file path=xl/ctrlProps/ctrlProp49.xml><?xml version="1.0" encoding="utf-8"?>
<formControlPr xmlns="http://schemas.microsoft.com/office/spreadsheetml/2009/9/main" objectType="Spin" dx="22" fmlaLink="$I$13" max="100" page="10" val="0"/>
</file>

<file path=xl/ctrlProps/ctrlProp50.xml><?xml version="1.0" encoding="utf-8"?>
<formControlPr xmlns="http://schemas.microsoft.com/office/spreadsheetml/2009/9/main" objectType="Spin" dx="22" fmlaLink="$J$2" max="100" page="10" val="0"/>
</file>

<file path=xl/ctrlProps/ctrlProp51.xml><?xml version="1.0" encoding="utf-8"?>
<formControlPr xmlns="http://schemas.microsoft.com/office/spreadsheetml/2009/9/main" objectType="Spin" dx="22" fmlaLink="$J$3" max="100" page="10" val="0"/>
</file>

<file path=xl/ctrlProps/ctrlProp52.xml><?xml version="1.0" encoding="utf-8"?>
<formControlPr xmlns="http://schemas.microsoft.com/office/spreadsheetml/2009/9/main" objectType="Spin" dx="22" fmlaLink="$J$4" max="100" page="10" val="0"/>
</file>

<file path=xl/ctrlProps/ctrlProp53.xml><?xml version="1.0" encoding="utf-8"?>
<formControlPr xmlns="http://schemas.microsoft.com/office/spreadsheetml/2009/9/main" objectType="Spin" dx="22" fmlaLink="$J$5" max="100" page="10" val="2"/>
</file>

<file path=xl/ctrlProps/ctrlProp54.xml><?xml version="1.0" encoding="utf-8"?>
<formControlPr xmlns="http://schemas.microsoft.com/office/spreadsheetml/2009/9/main" objectType="Spin" dx="22" fmlaLink="$J$6" max="100" page="10" val="0"/>
</file>

<file path=xl/ctrlProps/ctrlProp55.xml><?xml version="1.0" encoding="utf-8"?>
<formControlPr xmlns="http://schemas.microsoft.com/office/spreadsheetml/2009/9/main" objectType="Spin" dx="22" fmlaLink="$J$7" max="100" page="10" val="0"/>
</file>

<file path=xl/ctrlProps/ctrlProp56.xml><?xml version="1.0" encoding="utf-8"?>
<formControlPr xmlns="http://schemas.microsoft.com/office/spreadsheetml/2009/9/main" objectType="Spin" dx="22" fmlaLink="$J$8" max="100" page="10" val="0"/>
</file>

<file path=xl/ctrlProps/ctrlProp57.xml><?xml version="1.0" encoding="utf-8"?>
<formControlPr xmlns="http://schemas.microsoft.com/office/spreadsheetml/2009/9/main" objectType="Spin" dx="22" fmlaLink="$J$9" max="100" page="10" val="0"/>
</file>

<file path=xl/ctrlProps/ctrlProp58.xml><?xml version="1.0" encoding="utf-8"?>
<formControlPr xmlns="http://schemas.microsoft.com/office/spreadsheetml/2009/9/main" objectType="Spin" dx="22" fmlaLink="$J$10" max="100" page="10" val="0"/>
</file>

<file path=xl/ctrlProps/ctrlProp59.xml><?xml version="1.0" encoding="utf-8"?>
<formControlPr xmlns="http://schemas.microsoft.com/office/spreadsheetml/2009/9/main" objectType="Spin" dx="22" fmlaLink="$J$11" max="100" page="10" val="0"/>
</file>

<file path=xl/ctrlProps/ctrlProp60.xml><?xml version="1.0" encoding="utf-8"?>
<formControlPr xmlns="http://schemas.microsoft.com/office/spreadsheetml/2009/9/main" objectType="Spin" dx="22" fmlaLink="$J$12" max="100" page="10" val="0"/>
</file>

<file path=xl/ctrlProps/ctrlProp61.xml><?xml version="1.0" encoding="utf-8"?>
<formControlPr xmlns="http://schemas.microsoft.com/office/spreadsheetml/2009/9/main" objectType="Spin" dx="22" fmlaLink="$J$13" max="100" page="10" val="0"/>
</file>

<file path=xl/ctrlProps/ctrlProp62.xml><?xml version="1.0" encoding="utf-8"?>
<formControlPr xmlns="http://schemas.microsoft.com/office/spreadsheetml/2009/9/main" objectType="Spin" dx="22" fmlaLink="$K$2" max="100" page="10" val="0"/>
</file>

<file path=xl/ctrlProps/ctrlProp63.xml><?xml version="1.0" encoding="utf-8"?>
<formControlPr xmlns="http://schemas.microsoft.com/office/spreadsheetml/2009/9/main" objectType="Spin" dx="22" fmlaLink="$K$3" max="100" page="10" val="0"/>
</file>

<file path=xl/ctrlProps/ctrlProp64.xml><?xml version="1.0" encoding="utf-8"?>
<formControlPr xmlns="http://schemas.microsoft.com/office/spreadsheetml/2009/9/main" objectType="Spin" dx="22" fmlaLink="$K$4" max="100" page="10" val="0"/>
</file>

<file path=xl/ctrlProps/ctrlProp65.xml><?xml version="1.0" encoding="utf-8"?>
<formControlPr xmlns="http://schemas.microsoft.com/office/spreadsheetml/2009/9/main" objectType="Spin" dx="22" fmlaLink="$K$5" max="100" page="10" val="0"/>
</file>

<file path=xl/ctrlProps/ctrlProp66.xml><?xml version="1.0" encoding="utf-8"?>
<formControlPr xmlns="http://schemas.microsoft.com/office/spreadsheetml/2009/9/main" objectType="Spin" dx="22" fmlaLink="$K$6" max="100" page="10" val="0"/>
</file>

<file path=xl/ctrlProps/ctrlProp67.xml><?xml version="1.0" encoding="utf-8"?>
<formControlPr xmlns="http://schemas.microsoft.com/office/spreadsheetml/2009/9/main" objectType="Spin" dx="22" fmlaLink="$K$7" max="100" page="10" val="0"/>
</file>

<file path=xl/ctrlProps/ctrlProp68.xml><?xml version="1.0" encoding="utf-8"?>
<formControlPr xmlns="http://schemas.microsoft.com/office/spreadsheetml/2009/9/main" objectType="Spin" dx="22" fmlaLink="$K$8" max="100" page="10" val="0"/>
</file>

<file path=xl/ctrlProps/ctrlProp69.xml><?xml version="1.0" encoding="utf-8"?>
<formControlPr xmlns="http://schemas.microsoft.com/office/spreadsheetml/2009/9/main" objectType="Spin" dx="22" fmlaLink="$K$9" max="100" page="10" val="0"/>
</file>

<file path=xl/ctrlProps/ctrlProp70.xml><?xml version="1.0" encoding="utf-8"?>
<formControlPr xmlns="http://schemas.microsoft.com/office/spreadsheetml/2009/9/main" objectType="Spin" dx="22" fmlaLink="$K$10" max="100" page="10" val="0"/>
</file>

<file path=xl/ctrlProps/ctrlProp71.xml><?xml version="1.0" encoding="utf-8"?>
<formControlPr xmlns="http://schemas.microsoft.com/office/spreadsheetml/2009/9/main" objectType="Spin" dx="22" fmlaLink="$K$11" max="100" page="10" val="0"/>
</file>

<file path=xl/ctrlProps/ctrlProp72.xml><?xml version="1.0" encoding="utf-8"?>
<formControlPr xmlns="http://schemas.microsoft.com/office/spreadsheetml/2009/9/main" objectType="Spin" dx="22" fmlaLink="$K$12" max="100" page="10" val="0"/>
</file>

<file path=xl/ctrlProps/ctrlProp73.xml><?xml version="1.0" encoding="utf-8"?>
<formControlPr xmlns="http://schemas.microsoft.com/office/spreadsheetml/2009/9/main" objectType="Spin" dx="22" fmlaLink="$K$13" max="100" page="10" val="0"/>
</file>

<file path=xl/ctrlProps/ctrlProp74.xml><?xml version="1.0" encoding="utf-8"?>
<formControlPr xmlns="http://schemas.microsoft.com/office/spreadsheetml/2009/9/main" objectType="Spin" dx="22" fmlaLink="$L$2" max="100" page="10" val="0"/>
</file>

<file path=xl/ctrlProps/ctrlProp75.xml><?xml version="1.0" encoding="utf-8"?>
<formControlPr xmlns="http://schemas.microsoft.com/office/spreadsheetml/2009/9/main" objectType="Spin" dx="22" fmlaLink="$L$3" max="100" page="10" val="0"/>
</file>

<file path=xl/ctrlProps/ctrlProp76.xml><?xml version="1.0" encoding="utf-8"?>
<formControlPr xmlns="http://schemas.microsoft.com/office/spreadsheetml/2009/9/main" objectType="Spin" dx="22" fmlaLink="$L$4" max="100" page="10" val="0"/>
</file>

<file path=xl/ctrlProps/ctrlProp77.xml><?xml version="1.0" encoding="utf-8"?>
<formControlPr xmlns="http://schemas.microsoft.com/office/spreadsheetml/2009/9/main" objectType="Spin" dx="22" fmlaLink="$L$5" max="100" page="10" val="0"/>
</file>

<file path=xl/ctrlProps/ctrlProp78.xml><?xml version="1.0" encoding="utf-8"?>
<formControlPr xmlns="http://schemas.microsoft.com/office/spreadsheetml/2009/9/main" objectType="Spin" dx="22" fmlaLink="$L$6" max="100" page="10" val="0"/>
</file>

<file path=xl/ctrlProps/ctrlProp79.xml><?xml version="1.0" encoding="utf-8"?>
<formControlPr xmlns="http://schemas.microsoft.com/office/spreadsheetml/2009/9/main" objectType="Spin" dx="22" fmlaLink="$L$7" max="100" page="10" val="0"/>
</file>

<file path=xl/ctrlProps/ctrlProp80.xml><?xml version="1.0" encoding="utf-8"?>
<formControlPr xmlns="http://schemas.microsoft.com/office/spreadsheetml/2009/9/main" objectType="Spin" dx="22" fmlaLink="$L$8" max="100" page="10" val="0"/>
</file>

<file path=xl/ctrlProps/ctrlProp81.xml><?xml version="1.0" encoding="utf-8"?>
<formControlPr xmlns="http://schemas.microsoft.com/office/spreadsheetml/2009/9/main" objectType="Spin" dx="22" fmlaLink="$L$9" max="100" page="10" val="0"/>
</file>

<file path=xl/ctrlProps/ctrlProp82.xml><?xml version="1.0" encoding="utf-8"?>
<formControlPr xmlns="http://schemas.microsoft.com/office/spreadsheetml/2009/9/main" objectType="Spin" dx="22" fmlaLink="$L$10" max="100" page="10" val="0"/>
</file>

<file path=xl/ctrlProps/ctrlProp83.xml><?xml version="1.0" encoding="utf-8"?>
<formControlPr xmlns="http://schemas.microsoft.com/office/spreadsheetml/2009/9/main" objectType="Spin" dx="22" fmlaLink="$L$11" max="100" page="10" val="0"/>
</file>

<file path=xl/ctrlProps/ctrlProp84.xml><?xml version="1.0" encoding="utf-8"?>
<formControlPr xmlns="http://schemas.microsoft.com/office/spreadsheetml/2009/9/main" objectType="Spin" dx="22" fmlaLink="$L$12" max="100" page="10" val="0"/>
</file>

<file path=xl/ctrlProps/ctrlProp85.xml><?xml version="1.0" encoding="utf-8"?>
<formControlPr xmlns="http://schemas.microsoft.com/office/spreadsheetml/2009/9/main" objectType="Spin" dx="22" fmlaLink="$L$13" max="100" page="10" val="0"/>
</file>

<file path=xl/ctrlProps/ctrlProp86.xml><?xml version="1.0" encoding="utf-8"?>
<formControlPr xmlns="http://schemas.microsoft.com/office/spreadsheetml/2009/9/main" objectType="Spin" dx="22" fmlaLink="$M$2" max="100" page="10" val="0"/>
</file>

<file path=xl/ctrlProps/ctrlProp87.xml><?xml version="1.0" encoding="utf-8"?>
<formControlPr xmlns="http://schemas.microsoft.com/office/spreadsheetml/2009/9/main" objectType="Spin" dx="22" fmlaLink="$M$3" max="100" page="10" val="0"/>
</file>

<file path=xl/ctrlProps/ctrlProp88.xml><?xml version="1.0" encoding="utf-8"?>
<formControlPr xmlns="http://schemas.microsoft.com/office/spreadsheetml/2009/9/main" objectType="Spin" dx="22" fmlaLink="$M$4" max="100" page="10" val="0"/>
</file>

<file path=xl/ctrlProps/ctrlProp89.xml><?xml version="1.0" encoding="utf-8"?>
<formControlPr xmlns="http://schemas.microsoft.com/office/spreadsheetml/2009/9/main" objectType="Spin" dx="22" fmlaLink="$M$5" max="100" page="10" val="0"/>
</file>

<file path=xl/ctrlProps/ctrlProp90.xml><?xml version="1.0" encoding="utf-8"?>
<formControlPr xmlns="http://schemas.microsoft.com/office/spreadsheetml/2009/9/main" objectType="Spin" dx="22" fmlaLink="$M$6" max="100" page="10" val="0"/>
</file>

<file path=xl/ctrlProps/ctrlProp91.xml><?xml version="1.0" encoding="utf-8"?>
<formControlPr xmlns="http://schemas.microsoft.com/office/spreadsheetml/2009/9/main" objectType="Spin" dx="22" fmlaLink="$M$7" max="100" page="10" val="0"/>
</file>

<file path=xl/ctrlProps/ctrlProp92.xml><?xml version="1.0" encoding="utf-8"?>
<formControlPr xmlns="http://schemas.microsoft.com/office/spreadsheetml/2009/9/main" objectType="Spin" dx="22" fmlaLink="$M$8" max="100" page="10" val="0"/>
</file>

<file path=xl/ctrlProps/ctrlProp93.xml><?xml version="1.0" encoding="utf-8"?>
<formControlPr xmlns="http://schemas.microsoft.com/office/spreadsheetml/2009/9/main" objectType="Spin" dx="22" fmlaLink="$M$9" max="100" page="10" val="0"/>
</file>

<file path=xl/ctrlProps/ctrlProp94.xml><?xml version="1.0" encoding="utf-8"?>
<formControlPr xmlns="http://schemas.microsoft.com/office/spreadsheetml/2009/9/main" objectType="Spin" dx="22" fmlaLink="$M$10" max="100" page="10" val="0"/>
</file>

<file path=xl/ctrlProps/ctrlProp95.xml><?xml version="1.0" encoding="utf-8"?>
<formControlPr xmlns="http://schemas.microsoft.com/office/spreadsheetml/2009/9/main" objectType="Spin" dx="22" fmlaLink="$M$11" max="100" page="10" val="0"/>
</file>

<file path=xl/ctrlProps/ctrlProp96.xml><?xml version="1.0" encoding="utf-8"?>
<formControlPr xmlns="http://schemas.microsoft.com/office/spreadsheetml/2009/9/main" objectType="Spin" dx="22" fmlaLink="$M$12" max="100" page="10" val="0"/>
</file>

<file path=xl/ctrlProps/ctrlProp97.xml><?xml version="1.0" encoding="utf-8"?>
<formControlPr xmlns="http://schemas.microsoft.com/office/spreadsheetml/2009/9/main" objectType="Spin" dx="22" fmlaLink="$M$13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3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194" name="Spinner 3234" hidden="1">
              <a:extLst>
                <a:ext uri="{63B3BB69-23CF-44E3-9099-C40C66FF867C}">
                  <a14:compatExt spid="_x0000_s44194"/>
                </a:ext>
                <a:ext uri="{FF2B5EF4-FFF2-40B4-BE49-F238E27FC236}">
                  <a16:creationId xmlns:a16="http://schemas.microsoft.com/office/drawing/2014/main" id="{00000000-0008-0000-0300-0000A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195" name="Spinner 3235" hidden="1">
              <a:extLst>
                <a:ext uri="{63B3BB69-23CF-44E3-9099-C40C66FF867C}">
                  <a14:compatExt spid="_x0000_s44195"/>
                </a:ext>
                <a:ext uri="{FF2B5EF4-FFF2-40B4-BE49-F238E27FC236}">
                  <a16:creationId xmlns:a16="http://schemas.microsoft.com/office/drawing/2014/main" id="{00000000-0008-0000-0300-0000A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196" name="Spinner 3236" hidden="1">
              <a:extLst>
                <a:ext uri="{63B3BB69-23CF-44E3-9099-C40C66FF867C}">
                  <a14:compatExt spid="_x0000_s44196"/>
                </a:ext>
                <a:ext uri="{FF2B5EF4-FFF2-40B4-BE49-F238E27FC236}">
                  <a16:creationId xmlns:a16="http://schemas.microsoft.com/office/drawing/2014/main" id="{00000000-0008-0000-0300-0000A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197" name="Spinner 3237" hidden="1">
              <a:extLst>
                <a:ext uri="{63B3BB69-23CF-44E3-9099-C40C66FF867C}">
                  <a14:compatExt spid="_x0000_s44197"/>
                </a:ext>
                <a:ext uri="{FF2B5EF4-FFF2-40B4-BE49-F238E27FC236}">
                  <a16:creationId xmlns:a16="http://schemas.microsoft.com/office/drawing/2014/main" id="{00000000-0008-0000-0300-0000A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198" name="Spinner 3238" hidden="1">
              <a:extLst>
                <a:ext uri="{63B3BB69-23CF-44E3-9099-C40C66FF867C}">
                  <a14:compatExt spid="_x0000_s44198"/>
                </a:ext>
                <a:ext uri="{FF2B5EF4-FFF2-40B4-BE49-F238E27FC236}">
                  <a16:creationId xmlns:a16="http://schemas.microsoft.com/office/drawing/2014/main" id="{00000000-0008-0000-0300-0000A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199" name="Spinner 3239" hidden="1">
              <a:extLst>
                <a:ext uri="{63B3BB69-23CF-44E3-9099-C40C66FF867C}">
                  <a14:compatExt spid="_x0000_s44199"/>
                </a:ext>
                <a:ext uri="{FF2B5EF4-FFF2-40B4-BE49-F238E27FC236}">
                  <a16:creationId xmlns:a16="http://schemas.microsoft.com/office/drawing/2014/main" id="{00000000-0008-0000-0300-0000A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200" name="Spinner 3240" hidden="1">
              <a:extLst>
                <a:ext uri="{63B3BB69-23CF-44E3-9099-C40C66FF867C}">
                  <a14:compatExt spid="_x0000_s44200"/>
                </a:ext>
                <a:ext uri="{FF2B5EF4-FFF2-40B4-BE49-F238E27FC236}">
                  <a16:creationId xmlns:a16="http://schemas.microsoft.com/office/drawing/2014/main" id="{00000000-0008-0000-0300-0000A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201" name="Spinner 3241" hidden="1">
              <a:extLst>
                <a:ext uri="{63B3BB69-23CF-44E3-9099-C40C66FF867C}">
                  <a14:compatExt spid="_x0000_s44201"/>
                </a:ext>
                <a:ext uri="{FF2B5EF4-FFF2-40B4-BE49-F238E27FC236}">
                  <a16:creationId xmlns:a16="http://schemas.microsoft.com/office/drawing/2014/main" id="{00000000-0008-0000-0300-0000A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202" name="Spinner 3242" hidden="1">
              <a:extLst>
                <a:ext uri="{63B3BB69-23CF-44E3-9099-C40C66FF867C}">
                  <a14:compatExt spid="_x0000_s44202"/>
                </a:ext>
                <a:ext uri="{FF2B5EF4-FFF2-40B4-BE49-F238E27FC236}">
                  <a16:creationId xmlns:a16="http://schemas.microsoft.com/office/drawing/2014/main" id="{00000000-0008-0000-0300-0000A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203" name="Spinner 3243" hidden="1">
              <a:extLst>
                <a:ext uri="{63B3BB69-23CF-44E3-9099-C40C66FF867C}">
                  <a14:compatExt spid="_x0000_s44203"/>
                </a:ext>
                <a:ext uri="{FF2B5EF4-FFF2-40B4-BE49-F238E27FC236}">
                  <a16:creationId xmlns:a16="http://schemas.microsoft.com/office/drawing/2014/main" id="{00000000-0008-0000-0300-0000A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11</xdr:row>
          <xdr:rowOff>38100</xdr:rowOff>
        </xdr:from>
        <xdr:to>
          <xdr:col>6</xdr:col>
          <xdr:colOff>0</xdr:colOff>
          <xdr:row>11</xdr:row>
          <xdr:rowOff>361950</xdr:rowOff>
        </xdr:to>
        <xdr:sp macro="" textlink="">
          <xdr:nvSpPr>
            <xdr:cNvPr id="44204" name="Spinner 3244" hidden="1">
              <a:extLst>
                <a:ext uri="{63B3BB69-23CF-44E3-9099-C40C66FF867C}">
                  <a14:compatExt spid="_x0000_s44204"/>
                </a:ext>
                <a:ext uri="{FF2B5EF4-FFF2-40B4-BE49-F238E27FC236}">
                  <a16:creationId xmlns:a16="http://schemas.microsoft.com/office/drawing/2014/main" id="{00000000-0008-0000-0300-0000A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12</xdr:row>
          <xdr:rowOff>38100</xdr:rowOff>
        </xdr:from>
        <xdr:to>
          <xdr:col>6</xdr:col>
          <xdr:colOff>0</xdr:colOff>
          <xdr:row>12</xdr:row>
          <xdr:rowOff>361950</xdr:rowOff>
        </xdr:to>
        <xdr:sp macro="" textlink="">
          <xdr:nvSpPr>
            <xdr:cNvPr id="44205" name="Spinner 3245" hidden="1">
              <a:extLst>
                <a:ext uri="{63B3BB69-23CF-44E3-9099-C40C66FF867C}">
                  <a14:compatExt spid="_x0000_s44205"/>
                </a:ext>
                <a:ext uri="{FF2B5EF4-FFF2-40B4-BE49-F238E27FC236}">
                  <a16:creationId xmlns:a16="http://schemas.microsoft.com/office/drawing/2014/main" id="{00000000-0008-0000-0300-0000A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206" name="Spinner 3246" hidden="1">
              <a:extLst>
                <a:ext uri="{63B3BB69-23CF-44E3-9099-C40C66FF867C}">
                  <a14:compatExt spid="_x0000_s44206"/>
                </a:ext>
                <a:ext uri="{FF2B5EF4-FFF2-40B4-BE49-F238E27FC236}">
                  <a16:creationId xmlns:a16="http://schemas.microsoft.com/office/drawing/2014/main" id="{00000000-0008-0000-0300-0000A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207" name="Spinner 3247" hidden="1">
              <a:extLst>
                <a:ext uri="{63B3BB69-23CF-44E3-9099-C40C66FF867C}">
                  <a14:compatExt spid="_x0000_s44207"/>
                </a:ext>
                <a:ext uri="{FF2B5EF4-FFF2-40B4-BE49-F238E27FC236}">
                  <a16:creationId xmlns:a16="http://schemas.microsoft.com/office/drawing/2014/main" id="{00000000-0008-0000-0300-0000A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208" name="Spinner 3248" hidden="1">
              <a:extLst>
                <a:ext uri="{63B3BB69-23CF-44E3-9099-C40C66FF867C}">
                  <a14:compatExt spid="_x0000_s44208"/>
                </a:ext>
                <a:ext uri="{FF2B5EF4-FFF2-40B4-BE49-F238E27FC236}">
                  <a16:creationId xmlns:a16="http://schemas.microsoft.com/office/drawing/2014/main" id="{00000000-0008-0000-0300-0000B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209" name="Spinner 3249" hidden="1">
              <a:extLst>
                <a:ext uri="{63B3BB69-23CF-44E3-9099-C40C66FF867C}">
                  <a14:compatExt spid="_x0000_s44209"/>
                </a:ext>
                <a:ext uri="{FF2B5EF4-FFF2-40B4-BE49-F238E27FC236}">
                  <a16:creationId xmlns:a16="http://schemas.microsoft.com/office/drawing/2014/main" id="{00000000-0008-0000-0300-0000B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210" name="Spinner 3250" hidden="1">
              <a:extLst>
                <a:ext uri="{63B3BB69-23CF-44E3-9099-C40C66FF867C}">
                  <a14:compatExt spid="_x0000_s44210"/>
                </a:ext>
                <a:ext uri="{FF2B5EF4-FFF2-40B4-BE49-F238E27FC236}">
                  <a16:creationId xmlns:a16="http://schemas.microsoft.com/office/drawing/2014/main" id="{00000000-0008-0000-0300-0000B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211" name="Spinner 3251" hidden="1">
              <a:extLst>
                <a:ext uri="{63B3BB69-23CF-44E3-9099-C40C66FF867C}">
                  <a14:compatExt spid="_x0000_s44211"/>
                </a:ext>
                <a:ext uri="{FF2B5EF4-FFF2-40B4-BE49-F238E27FC236}">
                  <a16:creationId xmlns:a16="http://schemas.microsoft.com/office/drawing/2014/main" id="{00000000-0008-0000-0300-0000B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212" name="Spinner 3252" hidden="1">
              <a:extLst>
                <a:ext uri="{63B3BB69-23CF-44E3-9099-C40C66FF867C}">
                  <a14:compatExt spid="_x0000_s44212"/>
                </a:ext>
                <a:ext uri="{FF2B5EF4-FFF2-40B4-BE49-F238E27FC236}">
                  <a16:creationId xmlns:a16="http://schemas.microsoft.com/office/drawing/2014/main" id="{00000000-0008-0000-0300-0000B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213" name="Spinner 3253" hidden="1">
              <a:extLst>
                <a:ext uri="{63B3BB69-23CF-44E3-9099-C40C66FF867C}">
                  <a14:compatExt spid="_x0000_s44213"/>
                </a:ext>
                <a:ext uri="{FF2B5EF4-FFF2-40B4-BE49-F238E27FC236}">
                  <a16:creationId xmlns:a16="http://schemas.microsoft.com/office/drawing/2014/main" id="{00000000-0008-0000-0300-0000B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214" name="Spinner 3254" hidden="1">
              <a:extLst>
                <a:ext uri="{63B3BB69-23CF-44E3-9099-C40C66FF867C}">
                  <a14:compatExt spid="_x0000_s44214"/>
                </a:ext>
                <a:ext uri="{FF2B5EF4-FFF2-40B4-BE49-F238E27FC236}">
                  <a16:creationId xmlns:a16="http://schemas.microsoft.com/office/drawing/2014/main" id="{00000000-0008-0000-0300-0000B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215" name="Spinner 3255" hidden="1">
              <a:extLst>
                <a:ext uri="{63B3BB69-23CF-44E3-9099-C40C66FF867C}">
                  <a14:compatExt spid="_x0000_s44215"/>
                </a:ext>
                <a:ext uri="{FF2B5EF4-FFF2-40B4-BE49-F238E27FC236}">
                  <a16:creationId xmlns:a16="http://schemas.microsoft.com/office/drawing/2014/main" id="{00000000-0008-0000-0300-0000B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11</xdr:row>
          <xdr:rowOff>38100</xdr:rowOff>
        </xdr:from>
        <xdr:to>
          <xdr:col>7</xdr:col>
          <xdr:colOff>0</xdr:colOff>
          <xdr:row>11</xdr:row>
          <xdr:rowOff>361950</xdr:rowOff>
        </xdr:to>
        <xdr:sp macro="" textlink="">
          <xdr:nvSpPr>
            <xdr:cNvPr id="44216" name="Spinner 3256" hidden="1">
              <a:extLst>
                <a:ext uri="{63B3BB69-23CF-44E3-9099-C40C66FF867C}">
                  <a14:compatExt spid="_x0000_s44216"/>
                </a:ext>
                <a:ext uri="{FF2B5EF4-FFF2-40B4-BE49-F238E27FC236}">
                  <a16:creationId xmlns:a16="http://schemas.microsoft.com/office/drawing/2014/main" id="{00000000-0008-0000-0300-0000B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12</xdr:row>
          <xdr:rowOff>38100</xdr:rowOff>
        </xdr:from>
        <xdr:to>
          <xdr:col>7</xdr:col>
          <xdr:colOff>0</xdr:colOff>
          <xdr:row>12</xdr:row>
          <xdr:rowOff>361950</xdr:rowOff>
        </xdr:to>
        <xdr:sp macro="" textlink="">
          <xdr:nvSpPr>
            <xdr:cNvPr id="44217" name="Spinner 3257" hidden="1">
              <a:extLst>
                <a:ext uri="{63B3BB69-23CF-44E3-9099-C40C66FF867C}">
                  <a14:compatExt spid="_x0000_s44217"/>
                </a:ext>
                <a:ext uri="{FF2B5EF4-FFF2-40B4-BE49-F238E27FC236}">
                  <a16:creationId xmlns:a16="http://schemas.microsoft.com/office/drawing/2014/main" id="{00000000-0008-0000-0300-0000B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218" name="Spinner 3258" hidden="1">
              <a:extLst>
                <a:ext uri="{63B3BB69-23CF-44E3-9099-C40C66FF867C}">
                  <a14:compatExt spid="_x0000_s44218"/>
                </a:ext>
                <a:ext uri="{FF2B5EF4-FFF2-40B4-BE49-F238E27FC236}">
                  <a16:creationId xmlns:a16="http://schemas.microsoft.com/office/drawing/2014/main" id="{00000000-0008-0000-0300-0000B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219" name="Spinner 3259" hidden="1">
              <a:extLst>
                <a:ext uri="{63B3BB69-23CF-44E3-9099-C40C66FF867C}">
                  <a14:compatExt spid="_x0000_s44219"/>
                </a:ext>
                <a:ext uri="{FF2B5EF4-FFF2-40B4-BE49-F238E27FC236}">
                  <a16:creationId xmlns:a16="http://schemas.microsoft.com/office/drawing/2014/main" id="{00000000-0008-0000-0300-0000B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220" name="Spinner 3260" hidden="1">
              <a:extLst>
                <a:ext uri="{63B3BB69-23CF-44E3-9099-C40C66FF867C}">
                  <a14:compatExt spid="_x0000_s44220"/>
                </a:ext>
                <a:ext uri="{FF2B5EF4-FFF2-40B4-BE49-F238E27FC236}">
                  <a16:creationId xmlns:a16="http://schemas.microsoft.com/office/drawing/2014/main" id="{00000000-0008-0000-0300-0000B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221" name="Spinner 3261" hidden="1">
              <a:extLst>
                <a:ext uri="{63B3BB69-23CF-44E3-9099-C40C66FF867C}">
                  <a14:compatExt spid="_x0000_s44221"/>
                </a:ext>
                <a:ext uri="{FF2B5EF4-FFF2-40B4-BE49-F238E27FC236}">
                  <a16:creationId xmlns:a16="http://schemas.microsoft.com/office/drawing/2014/main" id="{00000000-0008-0000-0300-0000B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222" name="Spinner 3262" hidden="1">
              <a:extLst>
                <a:ext uri="{63B3BB69-23CF-44E3-9099-C40C66FF867C}">
                  <a14:compatExt spid="_x0000_s44222"/>
                </a:ext>
                <a:ext uri="{FF2B5EF4-FFF2-40B4-BE49-F238E27FC236}">
                  <a16:creationId xmlns:a16="http://schemas.microsoft.com/office/drawing/2014/main" id="{00000000-0008-0000-0300-0000B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223" name="Spinner 3263" hidden="1">
              <a:extLst>
                <a:ext uri="{63B3BB69-23CF-44E3-9099-C40C66FF867C}">
                  <a14:compatExt spid="_x0000_s44223"/>
                </a:ext>
                <a:ext uri="{FF2B5EF4-FFF2-40B4-BE49-F238E27FC236}">
                  <a16:creationId xmlns:a16="http://schemas.microsoft.com/office/drawing/2014/main" id="{00000000-0008-0000-0300-0000B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224" name="Spinner 3264" hidden="1">
              <a:extLst>
                <a:ext uri="{63B3BB69-23CF-44E3-9099-C40C66FF867C}">
                  <a14:compatExt spid="_x0000_s44224"/>
                </a:ext>
                <a:ext uri="{FF2B5EF4-FFF2-40B4-BE49-F238E27FC236}">
                  <a16:creationId xmlns:a16="http://schemas.microsoft.com/office/drawing/2014/main" id="{00000000-0008-0000-0300-0000C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225" name="Spinner 3265" hidden="1">
              <a:extLst>
                <a:ext uri="{63B3BB69-23CF-44E3-9099-C40C66FF867C}">
                  <a14:compatExt spid="_x0000_s44225"/>
                </a:ext>
                <a:ext uri="{FF2B5EF4-FFF2-40B4-BE49-F238E27FC236}">
                  <a16:creationId xmlns:a16="http://schemas.microsoft.com/office/drawing/2014/main" id="{00000000-0008-0000-0300-0000C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226" name="Spinner 3266" hidden="1">
              <a:extLst>
                <a:ext uri="{63B3BB69-23CF-44E3-9099-C40C66FF867C}">
                  <a14:compatExt spid="_x0000_s44226"/>
                </a:ext>
                <a:ext uri="{FF2B5EF4-FFF2-40B4-BE49-F238E27FC236}">
                  <a16:creationId xmlns:a16="http://schemas.microsoft.com/office/drawing/2014/main" id="{00000000-0008-0000-0300-0000C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227" name="Spinner 3267" hidden="1">
              <a:extLst>
                <a:ext uri="{63B3BB69-23CF-44E3-9099-C40C66FF867C}">
                  <a14:compatExt spid="_x0000_s44227"/>
                </a:ext>
                <a:ext uri="{FF2B5EF4-FFF2-40B4-BE49-F238E27FC236}">
                  <a16:creationId xmlns:a16="http://schemas.microsoft.com/office/drawing/2014/main" id="{00000000-0008-0000-0300-0000C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38100</xdr:rowOff>
        </xdr:from>
        <xdr:to>
          <xdr:col>8</xdr:col>
          <xdr:colOff>0</xdr:colOff>
          <xdr:row>11</xdr:row>
          <xdr:rowOff>361950</xdr:rowOff>
        </xdr:to>
        <xdr:sp macro="" textlink="">
          <xdr:nvSpPr>
            <xdr:cNvPr id="44228" name="Spinner 3268" hidden="1">
              <a:extLst>
                <a:ext uri="{63B3BB69-23CF-44E3-9099-C40C66FF867C}">
                  <a14:compatExt spid="_x0000_s44228"/>
                </a:ext>
                <a:ext uri="{FF2B5EF4-FFF2-40B4-BE49-F238E27FC236}">
                  <a16:creationId xmlns:a16="http://schemas.microsoft.com/office/drawing/2014/main" id="{00000000-0008-0000-0300-0000C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38100</xdr:rowOff>
        </xdr:from>
        <xdr:to>
          <xdr:col>8</xdr:col>
          <xdr:colOff>0</xdr:colOff>
          <xdr:row>12</xdr:row>
          <xdr:rowOff>361950</xdr:rowOff>
        </xdr:to>
        <xdr:sp macro="" textlink="">
          <xdr:nvSpPr>
            <xdr:cNvPr id="44229" name="Spinner 3269" hidden="1">
              <a:extLst>
                <a:ext uri="{63B3BB69-23CF-44E3-9099-C40C66FF867C}">
                  <a14:compatExt spid="_x0000_s44229"/>
                </a:ext>
                <a:ext uri="{FF2B5EF4-FFF2-40B4-BE49-F238E27FC236}">
                  <a16:creationId xmlns:a16="http://schemas.microsoft.com/office/drawing/2014/main" id="{00000000-0008-0000-0300-0000C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254" name="Spinner 3294" hidden="1">
              <a:extLst>
                <a:ext uri="{63B3BB69-23CF-44E3-9099-C40C66FF867C}">
                  <a14:compatExt spid="_x0000_s44254"/>
                </a:ext>
                <a:ext uri="{FF2B5EF4-FFF2-40B4-BE49-F238E27FC236}">
                  <a16:creationId xmlns:a16="http://schemas.microsoft.com/office/drawing/2014/main" id="{00000000-0008-0000-0300-0000D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255" name="Spinner 3295" hidden="1">
              <a:extLst>
                <a:ext uri="{63B3BB69-23CF-44E3-9099-C40C66FF867C}">
                  <a14:compatExt spid="_x0000_s44255"/>
                </a:ext>
                <a:ext uri="{FF2B5EF4-FFF2-40B4-BE49-F238E27FC236}">
                  <a16:creationId xmlns:a16="http://schemas.microsoft.com/office/drawing/2014/main" id="{00000000-0008-0000-0300-0000D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256" name="Spinner 3296" hidden="1">
              <a:extLst>
                <a:ext uri="{63B3BB69-23CF-44E3-9099-C40C66FF867C}">
                  <a14:compatExt spid="_x0000_s44256"/>
                </a:ext>
                <a:ext uri="{FF2B5EF4-FFF2-40B4-BE49-F238E27FC236}">
                  <a16:creationId xmlns:a16="http://schemas.microsoft.com/office/drawing/2014/main" id="{00000000-0008-0000-0300-0000E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257" name="Spinner 3297" hidden="1">
              <a:extLst>
                <a:ext uri="{63B3BB69-23CF-44E3-9099-C40C66FF867C}">
                  <a14:compatExt spid="_x0000_s44257"/>
                </a:ext>
                <a:ext uri="{FF2B5EF4-FFF2-40B4-BE49-F238E27FC236}">
                  <a16:creationId xmlns:a16="http://schemas.microsoft.com/office/drawing/2014/main" id="{00000000-0008-0000-0300-0000E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258" name="Spinner 3298" hidden="1">
              <a:extLst>
                <a:ext uri="{63B3BB69-23CF-44E3-9099-C40C66FF867C}">
                  <a14:compatExt spid="_x0000_s44258"/>
                </a:ext>
                <a:ext uri="{FF2B5EF4-FFF2-40B4-BE49-F238E27FC236}">
                  <a16:creationId xmlns:a16="http://schemas.microsoft.com/office/drawing/2014/main" id="{00000000-0008-0000-0300-0000E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259" name="Spinner 3299" hidden="1">
              <a:extLst>
                <a:ext uri="{63B3BB69-23CF-44E3-9099-C40C66FF867C}">
                  <a14:compatExt spid="_x0000_s44259"/>
                </a:ext>
                <a:ext uri="{FF2B5EF4-FFF2-40B4-BE49-F238E27FC236}">
                  <a16:creationId xmlns:a16="http://schemas.microsoft.com/office/drawing/2014/main" id="{00000000-0008-0000-0300-0000E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260" name="Spinner 3300" hidden="1">
              <a:extLst>
                <a:ext uri="{63B3BB69-23CF-44E3-9099-C40C66FF867C}">
                  <a14:compatExt spid="_x0000_s44260"/>
                </a:ext>
                <a:ext uri="{FF2B5EF4-FFF2-40B4-BE49-F238E27FC236}">
                  <a16:creationId xmlns:a16="http://schemas.microsoft.com/office/drawing/2014/main" id="{00000000-0008-0000-0300-0000E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261" name="Spinner 3301" hidden="1">
              <a:extLst>
                <a:ext uri="{63B3BB69-23CF-44E3-9099-C40C66FF867C}">
                  <a14:compatExt spid="_x0000_s44261"/>
                </a:ext>
                <a:ext uri="{FF2B5EF4-FFF2-40B4-BE49-F238E27FC236}">
                  <a16:creationId xmlns:a16="http://schemas.microsoft.com/office/drawing/2014/main" id="{00000000-0008-0000-0300-0000E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262" name="Spinner 3302" hidden="1">
              <a:extLst>
                <a:ext uri="{63B3BB69-23CF-44E3-9099-C40C66FF867C}">
                  <a14:compatExt spid="_x0000_s44262"/>
                </a:ext>
                <a:ext uri="{FF2B5EF4-FFF2-40B4-BE49-F238E27FC236}">
                  <a16:creationId xmlns:a16="http://schemas.microsoft.com/office/drawing/2014/main" id="{00000000-0008-0000-0300-0000E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263" name="Spinner 3303" hidden="1">
              <a:extLst>
                <a:ext uri="{63B3BB69-23CF-44E3-9099-C40C66FF867C}">
                  <a14:compatExt spid="_x0000_s44263"/>
                </a:ext>
                <a:ext uri="{FF2B5EF4-FFF2-40B4-BE49-F238E27FC236}">
                  <a16:creationId xmlns:a16="http://schemas.microsoft.com/office/drawing/2014/main" id="{00000000-0008-0000-0300-0000E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11</xdr:row>
          <xdr:rowOff>38100</xdr:rowOff>
        </xdr:from>
        <xdr:to>
          <xdr:col>9</xdr:col>
          <xdr:colOff>0</xdr:colOff>
          <xdr:row>11</xdr:row>
          <xdr:rowOff>361950</xdr:rowOff>
        </xdr:to>
        <xdr:sp macro="" textlink="">
          <xdr:nvSpPr>
            <xdr:cNvPr id="44264" name="Spinner 3304" hidden="1">
              <a:extLst>
                <a:ext uri="{63B3BB69-23CF-44E3-9099-C40C66FF867C}">
                  <a14:compatExt spid="_x0000_s44264"/>
                </a:ext>
                <a:ext uri="{FF2B5EF4-FFF2-40B4-BE49-F238E27FC236}">
                  <a16:creationId xmlns:a16="http://schemas.microsoft.com/office/drawing/2014/main" id="{00000000-0008-0000-0300-0000E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12</xdr:row>
          <xdr:rowOff>38100</xdr:rowOff>
        </xdr:from>
        <xdr:to>
          <xdr:col>9</xdr:col>
          <xdr:colOff>0</xdr:colOff>
          <xdr:row>12</xdr:row>
          <xdr:rowOff>361950</xdr:rowOff>
        </xdr:to>
        <xdr:sp macro="" textlink="">
          <xdr:nvSpPr>
            <xdr:cNvPr id="44265" name="Spinner 3305" hidden="1">
              <a:extLst>
                <a:ext uri="{63B3BB69-23CF-44E3-9099-C40C66FF867C}">
                  <a14:compatExt spid="_x0000_s44265"/>
                </a:ext>
                <a:ext uri="{FF2B5EF4-FFF2-40B4-BE49-F238E27FC236}">
                  <a16:creationId xmlns:a16="http://schemas.microsoft.com/office/drawing/2014/main" id="{00000000-0008-0000-0300-0000E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266" name="Spinner 3306" hidden="1">
              <a:extLst>
                <a:ext uri="{63B3BB69-23CF-44E3-9099-C40C66FF867C}">
                  <a14:compatExt spid="_x0000_s44266"/>
                </a:ext>
                <a:ext uri="{FF2B5EF4-FFF2-40B4-BE49-F238E27FC236}">
                  <a16:creationId xmlns:a16="http://schemas.microsoft.com/office/drawing/2014/main" id="{00000000-0008-0000-0300-0000E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267" name="Spinner 3307" hidden="1">
              <a:extLst>
                <a:ext uri="{63B3BB69-23CF-44E3-9099-C40C66FF867C}">
                  <a14:compatExt spid="_x0000_s44267"/>
                </a:ext>
                <a:ext uri="{FF2B5EF4-FFF2-40B4-BE49-F238E27FC236}">
                  <a16:creationId xmlns:a16="http://schemas.microsoft.com/office/drawing/2014/main" id="{00000000-0008-0000-0300-0000E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268" name="Spinner 3308" hidden="1">
              <a:extLst>
                <a:ext uri="{63B3BB69-23CF-44E3-9099-C40C66FF867C}">
                  <a14:compatExt spid="_x0000_s44268"/>
                </a:ext>
                <a:ext uri="{FF2B5EF4-FFF2-40B4-BE49-F238E27FC236}">
                  <a16:creationId xmlns:a16="http://schemas.microsoft.com/office/drawing/2014/main" id="{00000000-0008-0000-0300-0000E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269" name="Spinner 3309" hidden="1">
              <a:extLst>
                <a:ext uri="{63B3BB69-23CF-44E3-9099-C40C66FF867C}">
                  <a14:compatExt spid="_x0000_s44269"/>
                </a:ext>
                <a:ext uri="{FF2B5EF4-FFF2-40B4-BE49-F238E27FC236}">
                  <a16:creationId xmlns:a16="http://schemas.microsoft.com/office/drawing/2014/main" id="{00000000-0008-0000-0300-0000E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270" name="Spinner 3310" hidden="1">
              <a:extLst>
                <a:ext uri="{63B3BB69-23CF-44E3-9099-C40C66FF867C}">
                  <a14:compatExt spid="_x0000_s44270"/>
                </a:ext>
                <a:ext uri="{FF2B5EF4-FFF2-40B4-BE49-F238E27FC236}">
                  <a16:creationId xmlns:a16="http://schemas.microsoft.com/office/drawing/2014/main" id="{00000000-0008-0000-0300-0000E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271" name="Spinner 3311" hidden="1">
              <a:extLst>
                <a:ext uri="{63B3BB69-23CF-44E3-9099-C40C66FF867C}">
                  <a14:compatExt spid="_x0000_s44271"/>
                </a:ext>
                <a:ext uri="{FF2B5EF4-FFF2-40B4-BE49-F238E27FC236}">
                  <a16:creationId xmlns:a16="http://schemas.microsoft.com/office/drawing/2014/main" id="{00000000-0008-0000-0300-0000E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272" name="Spinner 3312" hidden="1">
              <a:extLst>
                <a:ext uri="{63B3BB69-23CF-44E3-9099-C40C66FF867C}">
                  <a14:compatExt spid="_x0000_s44272"/>
                </a:ext>
                <a:ext uri="{FF2B5EF4-FFF2-40B4-BE49-F238E27FC236}">
                  <a16:creationId xmlns:a16="http://schemas.microsoft.com/office/drawing/2014/main" id="{00000000-0008-0000-0300-0000F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273" name="Spinner 3313" hidden="1">
              <a:extLst>
                <a:ext uri="{63B3BB69-23CF-44E3-9099-C40C66FF867C}">
                  <a14:compatExt spid="_x0000_s44273"/>
                </a:ext>
                <a:ext uri="{FF2B5EF4-FFF2-40B4-BE49-F238E27FC236}">
                  <a16:creationId xmlns:a16="http://schemas.microsoft.com/office/drawing/2014/main" id="{00000000-0008-0000-0300-0000F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274" name="Spinner 3314" hidden="1">
              <a:extLst>
                <a:ext uri="{63B3BB69-23CF-44E3-9099-C40C66FF867C}">
                  <a14:compatExt spid="_x0000_s44274"/>
                </a:ext>
                <a:ext uri="{FF2B5EF4-FFF2-40B4-BE49-F238E27FC236}">
                  <a16:creationId xmlns:a16="http://schemas.microsoft.com/office/drawing/2014/main" id="{00000000-0008-0000-0300-0000F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275" name="Spinner 3315" hidden="1">
              <a:extLst>
                <a:ext uri="{63B3BB69-23CF-44E3-9099-C40C66FF867C}">
                  <a14:compatExt spid="_x0000_s44275"/>
                </a:ext>
                <a:ext uri="{FF2B5EF4-FFF2-40B4-BE49-F238E27FC236}">
                  <a16:creationId xmlns:a16="http://schemas.microsoft.com/office/drawing/2014/main" id="{00000000-0008-0000-0300-0000F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11</xdr:row>
          <xdr:rowOff>38100</xdr:rowOff>
        </xdr:from>
        <xdr:to>
          <xdr:col>10</xdr:col>
          <xdr:colOff>0</xdr:colOff>
          <xdr:row>11</xdr:row>
          <xdr:rowOff>361950</xdr:rowOff>
        </xdr:to>
        <xdr:sp macro="" textlink="">
          <xdr:nvSpPr>
            <xdr:cNvPr id="44276" name="Spinner 3316" hidden="1">
              <a:extLst>
                <a:ext uri="{63B3BB69-23CF-44E3-9099-C40C66FF867C}">
                  <a14:compatExt spid="_x0000_s44276"/>
                </a:ext>
                <a:ext uri="{FF2B5EF4-FFF2-40B4-BE49-F238E27FC236}">
                  <a16:creationId xmlns:a16="http://schemas.microsoft.com/office/drawing/2014/main" id="{00000000-0008-0000-0300-0000F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12</xdr:row>
          <xdr:rowOff>38100</xdr:rowOff>
        </xdr:from>
        <xdr:to>
          <xdr:col>10</xdr:col>
          <xdr:colOff>0</xdr:colOff>
          <xdr:row>12</xdr:row>
          <xdr:rowOff>361950</xdr:rowOff>
        </xdr:to>
        <xdr:sp macro="" textlink="">
          <xdr:nvSpPr>
            <xdr:cNvPr id="44277" name="Spinner 3317" hidden="1">
              <a:extLst>
                <a:ext uri="{63B3BB69-23CF-44E3-9099-C40C66FF867C}">
                  <a14:compatExt spid="_x0000_s44277"/>
                </a:ext>
                <a:ext uri="{FF2B5EF4-FFF2-40B4-BE49-F238E27FC236}">
                  <a16:creationId xmlns:a16="http://schemas.microsoft.com/office/drawing/2014/main" id="{00000000-0008-0000-0300-0000F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278" name="Spinner 3318" hidden="1">
              <a:extLst>
                <a:ext uri="{63B3BB69-23CF-44E3-9099-C40C66FF867C}">
                  <a14:compatExt spid="_x0000_s44278"/>
                </a:ext>
                <a:ext uri="{FF2B5EF4-FFF2-40B4-BE49-F238E27FC236}">
                  <a16:creationId xmlns:a16="http://schemas.microsoft.com/office/drawing/2014/main" id="{00000000-0008-0000-0300-0000F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279" name="Spinner 3319" hidden="1">
              <a:extLst>
                <a:ext uri="{63B3BB69-23CF-44E3-9099-C40C66FF867C}">
                  <a14:compatExt spid="_x0000_s44279"/>
                </a:ext>
                <a:ext uri="{FF2B5EF4-FFF2-40B4-BE49-F238E27FC236}">
                  <a16:creationId xmlns:a16="http://schemas.microsoft.com/office/drawing/2014/main" id="{00000000-0008-0000-0300-0000F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280" name="Spinner 3320" hidden="1">
              <a:extLst>
                <a:ext uri="{63B3BB69-23CF-44E3-9099-C40C66FF867C}">
                  <a14:compatExt spid="_x0000_s44280"/>
                </a:ext>
                <a:ext uri="{FF2B5EF4-FFF2-40B4-BE49-F238E27FC236}">
                  <a16:creationId xmlns:a16="http://schemas.microsoft.com/office/drawing/2014/main" id="{00000000-0008-0000-0300-0000F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281" name="Spinner 3321" hidden="1">
              <a:extLst>
                <a:ext uri="{63B3BB69-23CF-44E3-9099-C40C66FF867C}">
                  <a14:compatExt spid="_x0000_s44281"/>
                </a:ext>
                <a:ext uri="{FF2B5EF4-FFF2-40B4-BE49-F238E27FC236}">
                  <a16:creationId xmlns:a16="http://schemas.microsoft.com/office/drawing/2014/main" id="{00000000-0008-0000-0300-0000F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282" name="Spinner 3322" hidden="1">
              <a:extLst>
                <a:ext uri="{63B3BB69-23CF-44E3-9099-C40C66FF867C}">
                  <a14:compatExt spid="_x0000_s44282"/>
                </a:ext>
                <a:ext uri="{FF2B5EF4-FFF2-40B4-BE49-F238E27FC236}">
                  <a16:creationId xmlns:a16="http://schemas.microsoft.com/office/drawing/2014/main" id="{00000000-0008-0000-0300-0000F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283" name="Spinner 3323" hidden="1">
              <a:extLst>
                <a:ext uri="{63B3BB69-23CF-44E3-9099-C40C66FF867C}">
                  <a14:compatExt spid="_x0000_s44283"/>
                </a:ext>
                <a:ext uri="{FF2B5EF4-FFF2-40B4-BE49-F238E27FC236}">
                  <a16:creationId xmlns:a16="http://schemas.microsoft.com/office/drawing/2014/main" id="{00000000-0008-0000-0300-0000F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284" name="Spinner 3324" hidden="1">
              <a:extLst>
                <a:ext uri="{63B3BB69-23CF-44E3-9099-C40C66FF867C}">
                  <a14:compatExt spid="_x0000_s44284"/>
                </a:ext>
                <a:ext uri="{FF2B5EF4-FFF2-40B4-BE49-F238E27FC236}">
                  <a16:creationId xmlns:a16="http://schemas.microsoft.com/office/drawing/2014/main" id="{00000000-0008-0000-0300-0000F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285" name="Spinner 3325" hidden="1">
              <a:extLst>
                <a:ext uri="{63B3BB69-23CF-44E3-9099-C40C66FF867C}">
                  <a14:compatExt spid="_x0000_s44285"/>
                </a:ext>
                <a:ext uri="{FF2B5EF4-FFF2-40B4-BE49-F238E27FC236}">
                  <a16:creationId xmlns:a16="http://schemas.microsoft.com/office/drawing/2014/main" id="{00000000-0008-0000-0300-0000F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286" name="Spinner 3326" hidden="1">
              <a:extLst>
                <a:ext uri="{63B3BB69-23CF-44E3-9099-C40C66FF867C}">
                  <a14:compatExt spid="_x0000_s44286"/>
                </a:ext>
                <a:ext uri="{FF2B5EF4-FFF2-40B4-BE49-F238E27FC236}">
                  <a16:creationId xmlns:a16="http://schemas.microsoft.com/office/drawing/2014/main" id="{00000000-0008-0000-0300-0000F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287" name="Spinner 3327" hidden="1">
              <a:extLst>
                <a:ext uri="{63B3BB69-23CF-44E3-9099-C40C66FF867C}">
                  <a14:compatExt spid="_x0000_s44287"/>
                </a:ext>
                <a:ext uri="{FF2B5EF4-FFF2-40B4-BE49-F238E27FC236}">
                  <a16:creationId xmlns:a16="http://schemas.microsoft.com/office/drawing/2014/main" id="{00000000-0008-0000-0300-0000F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11</xdr:row>
          <xdr:rowOff>38100</xdr:rowOff>
        </xdr:from>
        <xdr:to>
          <xdr:col>11</xdr:col>
          <xdr:colOff>0</xdr:colOff>
          <xdr:row>11</xdr:row>
          <xdr:rowOff>361950</xdr:rowOff>
        </xdr:to>
        <xdr:sp macro="" textlink="">
          <xdr:nvSpPr>
            <xdr:cNvPr id="44288" name="Spinner 3328" hidden="1">
              <a:extLst>
                <a:ext uri="{63B3BB69-23CF-44E3-9099-C40C66FF867C}">
                  <a14:compatExt spid="_x0000_s44288"/>
                </a:ext>
                <a:ext uri="{FF2B5EF4-FFF2-40B4-BE49-F238E27FC236}">
                  <a16:creationId xmlns:a16="http://schemas.microsoft.com/office/drawing/2014/main" id="{00000000-0008-0000-0300-00000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12</xdr:row>
          <xdr:rowOff>38100</xdr:rowOff>
        </xdr:from>
        <xdr:to>
          <xdr:col>11</xdr:col>
          <xdr:colOff>0</xdr:colOff>
          <xdr:row>12</xdr:row>
          <xdr:rowOff>361950</xdr:rowOff>
        </xdr:to>
        <xdr:sp macro="" textlink="">
          <xdr:nvSpPr>
            <xdr:cNvPr id="44289" name="Spinner 3329" hidden="1">
              <a:extLst>
                <a:ext uri="{63B3BB69-23CF-44E3-9099-C40C66FF867C}">
                  <a14:compatExt spid="_x0000_s44289"/>
                </a:ext>
                <a:ext uri="{FF2B5EF4-FFF2-40B4-BE49-F238E27FC236}">
                  <a16:creationId xmlns:a16="http://schemas.microsoft.com/office/drawing/2014/main" id="{00000000-0008-0000-0300-00000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290" name="Spinner 3330" hidden="1">
              <a:extLst>
                <a:ext uri="{63B3BB69-23CF-44E3-9099-C40C66FF867C}">
                  <a14:compatExt spid="_x0000_s44290"/>
                </a:ext>
                <a:ext uri="{FF2B5EF4-FFF2-40B4-BE49-F238E27FC236}">
                  <a16:creationId xmlns:a16="http://schemas.microsoft.com/office/drawing/2014/main" id="{5EB42F5C-3324-4010-83A1-805F8C8FD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291" name="Spinner 3331" hidden="1">
              <a:extLst>
                <a:ext uri="{63B3BB69-23CF-44E3-9099-C40C66FF867C}">
                  <a14:compatExt spid="_x0000_s44291"/>
                </a:ext>
                <a:ext uri="{FF2B5EF4-FFF2-40B4-BE49-F238E27FC236}">
                  <a16:creationId xmlns:a16="http://schemas.microsoft.com/office/drawing/2014/main" id="{2D84D8A2-C2A2-45F2-B423-B9FF1D611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292" name="Spinner 3332" hidden="1">
              <a:extLst>
                <a:ext uri="{63B3BB69-23CF-44E3-9099-C40C66FF867C}">
                  <a14:compatExt spid="_x0000_s44292"/>
                </a:ext>
                <a:ext uri="{FF2B5EF4-FFF2-40B4-BE49-F238E27FC236}">
                  <a16:creationId xmlns:a16="http://schemas.microsoft.com/office/drawing/2014/main" id="{9B6E361E-7743-498E-BC9F-AC1F121F1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293" name="Spinner 3333" hidden="1">
              <a:extLst>
                <a:ext uri="{63B3BB69-23CF-44E3-9099-C40C66FF867C}">
                  <a14:compatExt spid="_x0000_s44293"/>
                </a:ext>
                <a:ext uri="{FF2B5EF4-FFF2-40B4-BE49-F238E27FC236}">
                  <a16:creationId xmlns:a16="http://schemas.microsoft.com/office/drawing/2014/main" id="{0EB8B0D1-3F2A-44D2-AA53-BEE1718E5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294" name="Spinner 3334" hidden="1">
              <a:extLst>
                <a:ext uri="{63B3BB69-23CF-44E3-9099-C40C66FF867C}">
                  <a14:compatExt spid="_x0000_s44294"/>
                </a:ext>
                <a:ext uri="{FF2B5EF4-FFF2-40B4-BE49-F238E27FC236}">
                  <a16:creationId xmlns:a16="http://schemas.microsoft.com/office/drawing/2014/main" id="{EE652333-D6B4-45BE-A0D6-24452360B4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295" name="Spinner 3335" hidden="1">
              <a:extLst>
                <a:ext uri="{63B3BB69-23CF-44E3-9099-C40C66FF867C}">
                  <a14:compatExt spid="_x0000_s44295"/>
                </a:ext>
                <a:ext uri="{FF2B5EF4-FFF2-40B4-BE49-F238E27FC236}">
                  <a16:creationId xmlns:a16="http://schemas.microsoft.com/office/drawing/2014/main" id="{A22705AA-72E0-4236-B630-60AB952B5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296" name="Spinner 3336" hidden="1">
              <a:extLst>
                <a:ext uri="{63B3BB69-23CF-44E3-9099-C40C66FF867C}">
                  <a14:compatExt spid="_x0000_s44296"/>
                </a:ext>
                <a:ext uri="{FF2B5EF4-FFF2-40B4-BE49-F238E27FC236}">
                  <a16:creationId xmlns:a16="http://schemas.microsoft.com/office/drawing/2014/main" id="{B3BAFE60-2405-4DB5-9D5E-682E8BABB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297" name="Spinner 3337" hidden="1">
              <a:extLst>
                <a:ext uri="{63B3BB69-23CF-44E3-9099-C40C66FF867C}">
                  <a14:compatExt spid="_x0000_s44297"/>
                </a:ext>
                <a:ext uri="{FF2B5EF4-FFF2-40B4-BE49-F238E27FC236}">
                  <a16:creationId xmlns:a16="http://schemas.microsoft.com/office/drawing/2014/main" id="{0BF33C2C-3168-4946-AA32-DC5711310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298" name="Spinner 3338" hidden="1">
              <a:extLst>
                <a:ext uri="{63B3BB69-23CF-44E3-9099-C40C66FF867C}">
                  <a14:compatExt spid="_x0000_s44298"/>
                </a:ext>
                <a:ext uri="{FF2B5EF4-FFF2-40B4-BE49-F238E27FC236}">
                  <a16:creationId xmlns:a16="http://schemas.microsoft.com/office/drawing/2014/main" id="{57F0A0D0-0BF4-4F46-89A3-C6F7087C8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299" name="Spinner 3339" hidden="1">
              <a:extLst>
                <a:ext uri="{63B3BB69-23CF-44E3-9099-C40C66FF867C}">
                  <a14:compatExt spid="_x0000_s44299"/>
                </a:ext>
                <a:ext uri="{FF2B5EF4-FFF2-40B4-BE49-F238E27FC236}">
                  <a16:creationId xmlns:a16="http://schemas.microsoft.com/office/drawing/2014/main" id="{F55A79D5-7D85-42EC-917C-76653F958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11</xdr:row>
          <xdr:rowOff>38100</xdr:rowOff>
        </xdr:from>
        <xdr:to>
          <xdr:col>12</xdr:col>
          <xdr:colOff>0</xdr:colOff>
          <xdr:row>11</xdr:row>
          <xdr:rowOff>361950</xdr:rowOff>
        </xdr:to>
        <xdr:sp macro="" textlink="">
          <xdr:nvSpPr>
            <xdr:cNvPr id="44300" name="Spinner 3340" hidden="1">
              <a:extLst>
                <a:ext uri="{63B3BB69-23CF-44E3-9099-C40C66FF867C}">
                  <a14:compatExt spid="_x0000_s44300"/>
                </a:ext>
                <a:ext uri="{FF2B5EF4-FFF2-40B4-BE49-F238E27FC236}">
                  <a16:creationId xmlns:a16="http://schemas.microsoft.com/office/drawing/2014/main" id="{6EA974D5-724E-48A9-9E5F-C26F48943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12</xdr:row>
          <xdr:rowOff>38100</xdr:rowOff>
        </xdr:from>
        <xdr:to>
          <xdr:col>12</xdr:col>
          <xdr:colOff>0</xdr:colOff>
          <xdr:row>12</xdr:row>
          <xdr:rowOff>361950</xdr:rowOff>
        </xdr:to>
        <xdr:sp macro="" textlink="">
          <xdr:nvSpPr>
            <xdr:cNvPr id="44301" name="Spinner 3341" hidden="1">
              <a:extLst>
                <a:ext uri="{63B3BB69-23CF-44E3-9099-C40C66FF867C}">
                  <a14:compatExt spid="_x0000_s44301"/>
                </a:ext>
                <a:ext uri="{FF2B5EF4-FFF2-40B4-BE49-F238E27FC236}">
                  <a16:creationId xmlns:a16="http://schemas.microsoft.com/office/drawing/2014/main" id="{2F172EE3-F3CF-4E68-8EBB-AD1FC7D78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302" name="Spinner 3342" hidden="1">
              <a:extLst>
                <a:ext uri="{63B3BB69-23CF-44E3-9099-C40C66FF867C}">
                  <a14:compatExt spid="_x0000_s44302"/>
                </a:ext>
                <a:ext uri="{FF2B5EF4-FFF2-40B4-BE49-F238E27FC236}">
                  <a16:creationId xmlns:a16="http://schemas.microsoft.com/office/drawing/2014/main" id="{65F5D3FF-F0C9-491A-92CF-1537E0C00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303" name="Spinner 3343" hidden="1">
              <a:extLst>
                <a:ext uri="{63B3BB69-23CF-44E3-9099-C40C66FF867C}">
                  <a14:compatExt spid="_x0000_s44303"/>
                </a:ext>
                <a:ext uri="{FF2B5EF4-FFF2-40B4-BE49-F238E27FC236}">
                  <a16:creationId xmlns:a16="http://schemas.microsoft.com/office/drawing/2014/main" id="{1B5F4743-00B7-496F-86CA-02C7EA164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304" name="Spinner 3344" hidden="1">
              <a:extLst>
                <a:ext uri="{63B3BB69-23CF-44E3-9099-C40C66FF867C}">
                  <a14:compatExt spid="_x0000_s44304"/>
                </a:ext>
                <a:ext uri="{FF2B5EF4-FFF2-40B4-BE49-F238E27FC236}">
                  <a16:creationId xmlns:a16="http://schemas.microsoft.com/office/drawing/2014/main" id="{825C9957-208B-43A1-AD87-7854A0D8F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305" name="Spinner 3345" hidden="1">
              <a:extLst>
                <a:ext uri="{63B3BB69-23CF-44E3-9099-C40C66FF867C}">
                  <a14:compatExt spid="_x0000_s44305"/>
                </a:ext>
                <a:ext uri="{FF2B5EF4-FFF2-40B4-BE49-F238E27FC236}">
                  <a16:creationId xmlns:a16="http://schemas.microsoft.com/office/drawing/2014/main" id="{1917A2AB-737C-4A50-8C75-7E222E028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306" name="Spinner 3346" hidden="1">
              <a:extLst>
                <a:ext uri="{63B3BB69-23CF-44E3-9099-C40C66FF867C}">
                  <a14:compatExt spid="_x0000_s44306"/>
                </a:ext>
                <a:ext uri="{FF2B5EF4-FFF2-40B4-BE49-F238E27FC236}">
                  <a16:creationId xmlns:a16="http://schemas.microsoft.com/office/drawing/2014/main" id="{A4DE16F9-67FD-417C-B37C-27241CDE1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307" name="Spinner 3347" hidden="1">
              <a:extLst>
                <a:ext uri="{63B3BB69-23CF-44E3-9099-C40C66FF867C}">
                  <a14:compatExt spid="_x0000_s44307"/>
                </a:ext>
                <a:ext uri="{FF2B5EF4-FFF2-40B4-BE49-F238E27FC236}">
                  <a16:creationId xmlns:a16="http://schemas.microsoft.com/office/drawing/2014/main" id="{FD45964C-231E-4985-9D5C-0164F33C5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308" name="Spinner 3348" hidden="1">
              <a:extLst>
                <a:ext uri="{63B3BB69-23CF-44E3-9099-C40C66FF867C}">
                  <a14:compatExt spid="_x0000_s44308"/>
                </a:ext>
                <a:ext uri="{FF2B5EF4-FFF2-40B4-BE49-F238E27FC236}">
                  <a16:creationId xmlns:a16="http://schemas.microsoft.com/office/drawing/2014/main" id="{BE56A235-57EB-4E33-8BD0-D3F47713C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309" name="Spinner 3349" hidden="1">
              <a:extLst>
                <a:ext uri="{63B3BB69-23CF-44E3-9099-C40C66FF867C}">
                  <a14:compatExt spid="_x0000_s44309"/>
                </a:ext>
                <a:ext uri="{FF2B5EF4-FFF2-40B4-BE49-F238E27FC236}">
                  <a16:creationId xmlns:a16="http://schemas.microsoft.com/office/drawing/2014/main" id="{0EB6507C-D5EE-460F-AE2D-25947BC13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310" name="Spinner 3350" hidden="1">
              <a:extLst>
                <a:ext uri="{63B3BB69-23CF-44E3-9099-C40C66FF867C}">
                  <a14:compatExt spid="_x0000_s44310"/>
                </a:ext>
                <a:ext uri="{FF2B5EF4-FFF2-40B4-BE49-F238E27FC236}">
                  <a16:creationId xmlns:a16="http://schemas.microsoft.com/office/drawing/2014/main" id="{11174D8A-0D7A-4956-B94C-C5788C29D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311" name="Spinner 3351" hidden="1">
              <a:extLst>
                <a:ext uri="{63B3BB69-23CF-44E3-9099-C40C66FF867C}">
                  <a14:compatExt spid="_x0000_s44311"/>
                </a:ext>
                <a:ext uri="{FF2B5EF4-FFF2-40B4-BE49-F238E27FC236}">
                  <a16:creationId xmlns:a16="http://schemas.microsoft.com/office/drawing/2014/main" id="{9FEF22AD-55F9-442F-B895-D0F7AB32E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11</xdr:row>
          <xdr:rowOff>38100</xdr:rowOff>
        </xdr:from>
        <xdr:to>
          <xdr:col>13</xdr:col>
          <xdr:colOff>0</xdr:colOff>
          <xdr:row>11</xdr:row>
          <xdr:rowOff>361950</xdr:rowOff>
        </xdr:to>
        <xdr:sp macro="" textlink="">
          <xdr:nvSpPr>
            <xdr:cNvPr id="44312" name="Spinner 3352" hidden="1">
              <a:extLst>
                <a:ext uri="{63B3BB69-23CF-44E3-9099-C40C66FF867C}">
                  <a14:compatExt spid="_x0000_s44312"/>
                </a:ext>
                <a:ext uri="{FF2B5EF4-FFF2-40B4-BE49-F238E27FC236}">
                  <a16:creationId xmlns:a16="http://schemas.microsoft.com/office/drawing/2014/main" id="{149A116C-C340-467C-AEF8-84CCDFFD6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12</xdr:row>
          <xdr:rowOff>38100</xdr:rowOff>
        </xdr:from>
        <xdr:to>
          <xdr:col>13</xdr:col>
          <xdr:colOff>0</xdr:colOff>
          <xdr:row>12</xdr:row>
          <xdr:rowOff>361950</xdr:rowOff>
        </xdr:to>
        <xdr:sp macro="" textlink="">
          <xdr:nvSpPr>
            <xdr:cNvPr id="44313" name="Spinner 3353" hidden="1">
              <a:extLst>
                <a:ext uri="{63B3BB69-23CF-44E3-9099-C40C66FF867C}">
                  <a14:compatExt spid="_x0000_s44313"/>
                </a:ext>
                <a:ext uri="{FF2B5EF4-FFF2-40B4-BE49-F238E27FC236}">
                  <a16:creationId xmlns:a16="http://schemas.microsoft.com/office/drawing/2014/main" id="{4CCDF8DA-5AB1-47B0-87EC-D82BEA053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F71-A5D4-4D4D-8228-40AFE1D0B416}">
  <sheetPr codeName="Sheet2"/>
  <dimension ref="A1:B16"/>
  <sheetViews>
    <sheetView workbookViewId="0">
      <selection activeCell="B13" sqref="B13"/>
    </sheetView>
  </sheetViews>
  <sheetFormatPr defaultRowHeight="15" x14ac:dyDescent="0.25"/>
  <cols>
    <col min="1" max="1" width="8.7109375" style="1"/>
    <col min="2" max="2" width="12.42578125" style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1">
        <v>1</v>
      </c>
      <c r="B2" s="1" t="s">
        <v>5</v>
      </c>
    </row>
    <row r="3" spans="1:2" x14ac:dyDescent="0.25">
      <c r="A3" s="1">
        <v>2</v>
      </c>
      <c r="B3" s="1" t="s">
        <v>6</v>
      </c>
    </row>
    <row r="4" spans="1:2" x14ac:dyDescent="0.25">
      <c r="A4" s="1">
        <v>3</v>
      </c>
      <c r="B4" s="1" t="s">
        <v>7</v>
      </c>
    </row>
    <row r="5" spans="1:2" x14ac:dyDescent="0.25">
      <c r="A5" s="1">
        <v>4</v>
      </c>
      <c r="B5" s="1" t="s">
        <v>8</v>
      </c>
    </row>
    <row r="6" spans="1:2" x14ac:dyDescent="0.25">
      <c r="A6" s="1">
        <v>5</v>
      </c>
      <c r="B6" s="1" t="s">
        <v>9</v>
      </c>
    </row>
    <row r="7" spans="1:2" x14ac:dyDescent="0.25">
      <c r="A7" s="1">
        <v>6</v>
      </c>
      <c r="B7" s="1" t="s">
        <v>10</v>
      </c>
    </row>
    <row r="8" spans="1:2" x14ac:dyDescent="0.25">
      <c r="A8" s="1">
        <v>7</v>
      </c>
      <c r="B8" s="1" t="s">
        <v>21</v>
      </c>
    </row>
    <row r="9" spans="1:2" x14ac:dyDescent="0.25">
      <c r="A9" s="1">
        <v>8</v>
      </c>
      <c r="B9" s="1" t="s">
        <v>11</v>
      </c>
    </row>
    <row r="10" spans="1:2" x14ac:dyDescent="0.25">
      <c r="A10" s="1">
        <v>9</v>
      </c>
      <c r="B10" s="1" t="s">
        <v>12</v>
      </c>
    </row>
    <row r="11" spans="1:2" x14ac:dyDescent="0.25">
      <c r="A11" s="1">
        <v>10</v>
      </c>
      <c r="B11" s="1" t="s">
        <v>13</v>
      </c>
    </row>
    <row r="12" spans="1:2" x14ac:dyDescent="0.25">
      <c r="A12" s="1">
        <v>11</v>
      </c>
      <c r="B12" s="1" t="s">
        <v>27</v>
      </c>
    </row>
    <row r="13" spans="1:2" x14ac:dyDescent="0.25">
      <c r="A13" s="1">
        <v>12</v>
      </c>
      <c r="B13" s="1" t="s">
        <v>28</v>
      </c>
    </row>
    <row r="14" spans="1:2" x14ac:dyDescent="0.25">
      <c r="A14" s="1">
        <v>13</v>
      </c>
    </row>
    <row r="15" spans="1:2" x14ac:dyDescent="0.25">
      <c r="A15" s="1">
        <v>14</v>
      </c>
    </row>
    <row r="16" spans="1:2" x14ac:dyDescent="0.25">
      <c r="A16" s="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C5138-3BD7-4409-8A20-193E346262C4}">
  <sheetPr codeName="Sheet17"/>
  <dimension ref="A1:L16"/>
  <sheetViews>
    <sheetView workbookViewId="0"/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0.42578125" style="1" bestFit="1" customWidth="1"/>
    <col min="5" max="8" width="10.28515625" style="32" bestFit="1" customWidth="1"/>
    <col min="9" max="12" width="9.140625" style="8"/>
  </cols>
  <sheetData>
    <row r="1" spans="1:12" x14ac:dyDescent="0.25">
      <c r="A1" s="2" t="s">
        <v>0</v>
      </c>
      <c r="B1" s="2" t="s">
        <v>1</v>
      </c>
      <c r="C1" s="2" t="s">
        <v>20</v>
      </c>
      <c r="D1" s="4">
        <f ca="1">TODAY()</f>
        <v>45687</v>
      </c>
      <c r="E1" s="30">
        <v>45748</v>
      </c>
      <c r="F1" s="30">
        <v>45717</v>
      </c>
      <c r="G1" s="30">
        <v>45689</v>
      </c>
      <c r="H1" s="30">
        <v>45658</v>
      </c>
      <c r="I1" s="7"/>
      <c r="J1" s="7"/>
      <c r="K1" s="7"/>
      <c r="L1" s="7"/>
    </row>
    <row r="2" spans="1:12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637</v>
      </c>
      <c r="D2" s="3">
        <f ca="1">IF(B2 &lt;&gt; "**Unoccupied**", 'Today_05-01-25'!N2, "-")</f>
        <v>125</v>
      </c>
      <c r="E2" s="31">
        <v>125</v>
      </c>
      <c r="F2" s="31">
        <v>125</v>
      </c>
      <c r="G2" s="31">
        <v>125</v>
      </c>
      <c r="H2" s="31">
        <v>137</v>
      </c>
    </row>
    <row r="3" spans="1:12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745</v>
      </c>
      <c r="D3" s="3">
        <f ca="1">IF(B3 &lt;&gt; "**Unoccupied**", 'Today_05-01-25'!N3, "-")</f>
        <v>125</v>
      </c>
      <c r="E3" s="31">
        <v>125</v>
      </c>
      <c r="F3" s="31">
        <v>125</v>
      </c>
      <c r="G3" s="31">
        <v>125</v>
      </c>
      <c r="H3" s="31">
        <v>245</v>
      </c>
    </row>
    <row r="4" spans="1:12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625</v>
      </c>
      <c r="D4" s="3">
        <f ca="1">IF(B4 &lt;&gt; "**Unoccupied**", 'Today_05-01-25'!N4, "-")</f>
        <v>125</v>
      </c>
      <c r="E4" s="31">
        <v>125</v>
      </c>
      <c r="F4" s="31">
        <v>125</v>
      </c>
      <c r="G4" s="31">
        <v>125</v>
      </c>
      <c r="H4" s="31">
        <v>125</v>
      </c>
    </row>
    <row r="5" spans="1:12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765</v>
      </c>
      <c r="D5" s="3">
        <f ca="1">IF(B5 &lt;&gt; "**Unoccupied**", 'Today_05-01-25'!N5, "-")</f>
        <v>155</v>
      </c>
      <c r="E5" s="31">
        <v>285</v>
      </c>
      <c r="F5" s="31">
        <v>125</v>
      </c>
      <c r="G5" s="31">
        <v>125</v>
      </c>
      <c r="H5" s="31">
        <v>75</v>
      </c>
    </row>
    <row r="6" spans="1:12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625</v>
      </c>
      <c r="D6" s="3">
        <f ca="1">IF(B6 &lt;&gt; "**Unoccupied**", 'Today_05-01-25'!N6, "-")</f>
        <v>125</v>
      </c>
      <c r="E6" s="31">
        <v>125</v>
      </c>
      <c r="F6" s="31">
        <v>125</v>
      </c>
      <c r="G6" s="31">
        <v>125</v>
      </c>
      <c r="H6" s="31">
        <v>125</v>
      </c>
    </row>
    <row r="7" spans="1:12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625</v>
      </c>
      <c r="D7" s="3">
        <f ca="1">IF(B7 &lt;&gt; "**Unoccupied**", 'Today_05-01-25'!N7, "-")</f>
        <v>125</v>
      </c>
      <c r="E7" s="31">
        <v>125</v>
      </c>
      <c r="F7" s="31">
        <v>125</v>
      </c>
      <c r="G7" s="31">
        <v>125</v>
      </c>
      <c r="H7" s="31">
        <v>125</v>
      </c>
    </row>
    <row r="8" spans="1:12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625</v>
      </c>
      <c r="D8" s="3">
        <f ca="1">IF(B8 &lt;&gt; "**Unoccupied**", 'Today_05-01-25'!N8, "-")</f>
        <v>125</v>
      </c>
      <c r="E8" s="31">
        <v>125</v>
      </c>
      <c r="F8" s="31">
        <v>125</v>
      </c>
      <c r="G8" s="31">
        <v>125</v>
      </c>
      <c r="H8" s="31">
        <v>125</v>
      </c>
    </row>
    <row r="9" spans="1:12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625</v>
      </c>
      <c r="D9" s="3">
        <f ca="1">IF(B9 &lt;&gt; "**Unoccupied**", 'Today_05-01-25'!N9, "-")</f>
        <v>125</v>
      </c>
      <c r="E9" s="31">
        <v>125</v>
      </c>
      <c r="F9" s="31">
        <v>125</v>
      </c>
      <c r="G9" s="31">
        <v>125</v>
      </c>
      <c r="H9" s="31">
        <v>125</v>
      </c>
    </row>
    <row r="10" spans="1:12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625</v>
      </c>
      <c r="D10" s="3">
        <f ca="1">IF(B10 &lt;&gt; "**Unoccupied**", 'Today_05-01-25'!N10, "-")</f>
        <v>125</v>
      </c>
      <c r="E10" s="31">
        <v>125</v>
      </c>
      <c r="F10" s="31">
        <v>125</v>
      </c>
      <c r="G10" s="31">
        <v>125</v>
      </c>
      <c r="H10" s="31">
        <v>125</v>
      </c>
    </row>
    <row r="11" spans="1:12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625</v>
      </c>
      <c r="D11" s="3">
        <f ca="1">IF(B11 &lt;&gt; "**Unoccupied**", 'Today_05-01-25'!N11, "-")</f>
        <v>125</v>
      </c>
      <c r="E11" s="31">
        <v>125</v>
      </c>
      <c r="F11" s="31">
        <v>125</v>
      </c>
      <c r="G11" s="31">
        <v>125</v>
      </c>
      <c r="H11" s="31">
        <v>125</v>
      </c>
    </row>
    <row r="12" spans="1:12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Shweta</v>
      </c>
      <c r="C12" s="5">
        <f ca="1">IFERROR(IF(B12 &lt;&gt; "**Unoccupied**", SUM(INDIRECT(ADDRESS(ROW(), COLUMN() + 1)):INDEX(12:12,COUNTA($1:$1) + 1)), "-"), 0)</f>
        <v>625</v>
      </c>
      <c r="D12" s="3">
        <f ca="1">IF(B12 &lt;&gt; "**Unoccupied**", 'Today_05-01-25'!N12, "-")</f>
        <v>125</v>
      </c>
      <c r="E12" s="31">
        <v>125</v>
      </c>
      <c r="F12" s="31">
        <v>125</v>
      </c>
      <c r="G12" s="31">
        <v>125</v>
      </c>
      <c r="H12" s="31">
        <v>125</v>
      </c>
    </row>
    <row r="13" spans="1:12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Pratik Sir</v>
      </c>
      <c r="C13" s="5">
        <f ca="1">IFERROR(IF(B13 &lt;&gt; "**Unoccupied**", SUM(INDIRECT(ADDRESS(ROW(), COLUMN() + 1)):INDEX(13:13,COUNTA($1:$1) + 1)), "-"), 0)</f>
        <v>625</v>
      </c>
      <c r="D13" s="3">
        <f ca="1">IF(B13 &lt;&gt; "**Unoccupied**", 'Today_05-01-25'!N13, "-")</f>
        <v>125</v>
      </c>
      <c r="E13" s="31">
        <v>125</v>
      </c>
      <c r="F13" s="31">
        <v>125</v>
      </c>
      <c r="G13" s="31">
        <v>125</v>
      </c>
      <c r="H13" s="31">
        <v>125</v>
      </c>
    </row>
    <row r="14" spans="1:12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'Today_05-01-25'!N14, "-")</f>
        <v>-</v>
      </c>
      <c r="E14" s="31"/>
      <c r="F14" s="31"/>
      <c r="G14" s="31"/>
      <c r="H14" s="31"/>
    </row>
    <row r="15" spans="1:12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'Today_05-01-25'!N15, "-")</f>
        <v>-</v>
      </c>
      <c r="E15" s="31"/>
      <c r="F15" s="31"/>
      <c r="G15" s="31"/>
      <c r="H15" s="31"/>
    </row>
    <row r="16" spans="1:12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'Today_05-01-25'!N16, "-")</f>
        <v>-</v>
      </c>
      <c r="E16" s="31"/>
      <c r="F16" s="31"/>
      <c r="G16" s="31"/>
      <c r="H16" s="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168C-FA2E-423E-A0E7-98984B828E54}">
  <sheetPr codeName="Sheet16"/>
  <dimension ref="A1:D16"/>
  <sheetViews>
    <sheetView workbookViewId="0">
      <selection activeCell="C8" sqref="C8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1.28515625" style="7" bestFit="1" customWidth="1"/>
  </cols>
  <sheetData>
    <row r="1" spans="1:4" x14ac:dyDescent="0.2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637</v>
      </c>
      <c r="D2" s="6">
        <f ca="1">SUM($C:$C)</f>
        <v>7772</v>
      </c>
    </row>
    <row r="3" spans="1: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745</v>
      </c>
    </row>
    <row r="4" spans="1: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625</v>
      </c>
    </row>
    <row r="5" spans="1: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765</v>
      </c>
    </row>
    <row r="6" spans="1: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625</v>
      </c>
    </row>
    <row r="7" spans="1: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625</v>
      </c>
    </row>
    <row r="8" spans="1: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625</v>
      </c>
    </row>
    <row r="9" spans="1: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625</v>
      </c>
    </row>
    <row r="10" spans="1: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625</v>
      </c>
    </row>
    <row r="11" spans="1: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625</v>
      </c>
    </row>
    <row r="12" spans="1: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Shweta</v>
      </c>
      <c r="C12" s="5">
        <f ca="1">'BoarderDateWise-Sales'!C12</f>
        <v>625</v>
      </c>
    </row>
    <row r="13" spans="1: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Pratik Sir</v>
      </c>
      <c r="C13" s="5">
        <f ca="1">'BoarderDateWise-Sales'!C13</f>
        <v>625</v>
      </c>
    </row>
    <row r="14" spans="1: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6"/>
  <sheetViews>
    <sheetView tabSelected="1" zoomScale="130" zoomScaleNormal="130" workbookViewId="0">
      <selection activeCell="G2" sqref="G2"/>
    </sheetView>
  </sheetViews>
  <sheetFormatPr defaultRowHeight="15" x14ac:dyDescent="0.25"/>
  <cols>
    <col min="1" max="1" width="8.710937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29</v>
      </c>
      <c r="H1" s="9" t="s">
        <v>30</v>
      </c>
      <c r="I1" s="9" t="s">
        <v>31</v>
      </c>
      <c r="J1" s="9" t="s">
        <v>32</v>
      </c>
      <c r="K1" s="9" t="s">
        <v>33</v>
      </c>
      <c r="L1" s="9" t="s">
        <v>35</v>
      </c>
      <c r="M1" s="9" t="s">
        <v>36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 cm="1">
        <f t="array" aca="1" ref="A2" ca="1">IF('Boarder-List'!A2&lt;&gt;0,'Boarder-List'!A2,CELL("contents",INDIRECT(ADDRESS(ROW()-1,COLUMN()))) + 1)</f>
        <v>1</v>
      </c>
      <c r="B2" s="22" t="str">
        <f ca="1">IF(VLOOKUP(A2,'Boarder-List'!$A:$B,2,0) = "", "**Unoccupied**", VLOOKUP(A2,'Boarder-List'!$A:$B,2,0))</f>
        <v>A</v>
      </c>
      <c r="C2" s="10" t="s">
        <v>34</v>
      </c>
      <c r="D2" s="10" t="s">
        <v>34</v>
      </c>
      <c r="E2" s="10" t="s">
        <v>34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3" cm="1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VLOOKUP(INDIRECT(ADDRESS(1, 6)):INDIRECT(ADDRESS(1, COLUMN() - 1)),$R:$S,2,0))), "-")</f>
        <v>125</v>
      </c>
      <c r="O2" s="14">
        <f ca="1">SUM($N:$N)</f>
        <v>1530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34</v>
      </c>
      <c r="W2" s="25" t="s">
        <v>22</v>
      </c>
    </row>
    <row r="3" spans="1:32" ht="32.25" customHeight="1" thickBot="1" x14ac:dyDescent="0.3">
      <c r="A3" s="22" cm="1">
        <f t="array" aca="1" ref="A3" ca="1">IF('Boarder-List'!A3&lt;&gt;0,'Boarder-List'!A3,CELL("contents",INDIRECT(ADDRESS(ROW()-1,COLUMN()))) + 1)</f>
        <v>2</v>
      </c>
      <c r="B3" s="22" t="str">
        <f ca="1">IF(VLOOKUP(A3,'Boarder-List'!$A:$B,2,0) = "", "**Unoccupied**", VLOOKUP(A3,'Boarder-List'!$A:$B,2,0))</f>
        <v>B</v>
      </c>
      <c r="C3" s="10" t="s">
        <v>34</v>
      </c>
      <c r="D3" s="10" t="s">
        <v>34</v>
      </c>
      <c r="E3" s="10" t="s">
        <v>34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3" cm="1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VLOOKUP(INDIRECT(ADDRESS(1, 6)):INDIRECT(ADDRESS(1, COLUMN() - 1)),$R:$S,2,0))), "-")</f>
        <v>125</v>
      </c>
      <c r="R3" s="22" t="s">
        <v>29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 cm="1">
        <f t="array" aca="1" ref="A4" ca="1">IF('Boarder-List'!A4&lt;&gt;0,'Boarder-List'!A4,CELL("contents",INDIRECT(ADDRESS(ROW()-1,COLUMN()))) + 1)</f>
        <v>3</v>
      </c>
      <c r="B4" s="22" t="str">
        <f ca="1">IF(VLOOKUP(A4,'Boarder-List'!$A:$B,2,0) = "", "**Unoccupied**", VLOOKUP(A4,'Boarder-List'!$A:$B,2,0))</f>
        <v>C</v>
      </c>
      <c r="C4" s="10" t="s">
        <v>34</v>
      </c>
      <c r="D4" s="10" t="s">
        <v>34</v>
      </c>
      <c r="E4" s="10" t="s">
        <v>34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3" cm="1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VLOOKUP(INDIRECT(ADDRESS(1, 6)):INDIRECT(ADDRESS(1, COLUMN() - 1)),$R:$S,2,0))), "-")</f>
        <v>125</v>
      </c>
      <c r="R4" s="22" t="s">
        <v>30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 cm="1">
        <f t="array" aca="1" ref="A5" ca="1">IF('Boarder-List'!A5&lt;&gt;0,'Boarder-List'!A5,CELL("contents",INDIRECT(ADDRESS(ROW()-1,COLUMN()))) + 1)</f>
        <v>4</v>
      </c>
      <c r="B5" s="22" t="str">
        <f ca="1">IF(VLOOKUP(A5,'Boarder-List'!$A:$B,2,0) = "", "**Unoccupied**", VLOOKUP(A5,'Boarder-List'!$A:$B,2,0))</f>
        <v>D</v>
      </c>
      <c r="C5" s="10" t="s">
        <v>34</v>
      </c>
      <c r="D5" s="10" t="s">
        <v>34</v>
      </c>
      <c r="E5" s="10" t="s">
        <v>34</v>
      </c>
      <c r="F5" s="12">
        <v>0</v>
      </c>
      <c r="G5" s="12">
        <v>0</v>
      </c>
      <c r="H5" s="12">
        <v>0</v>
      </c>
      <c r="I5" s="12">
        <v>0</v>
      </c>
      <c r="J5" s="12">
        <v>2</v>
      </c>
      <c r="K5" s="12">
        <v>0</v>
      </c>
      <c r="L5" s="12">
        <v>0</v>
      </c>
      <c r="M5" s="12">
        <v>0</v>
      </c>
      <c r="N5" s="13" cm="1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VLOOKUP(INDIRECT(ADDRESS(1, 6)):INDIRECT(ADDRESS(1, COLUMN() - 1)),$R:$S,2,0))), "-")</f>
        <v>155</v>
      </c>
      <c r="R5" s="22" t="s">
        <v>35</v>
      </c>
      <c r="S5" s="22">
        <v>12</v>
      </c>
    </row>
    <row r="6" spans="1:32" ht="32.25" customHeight="1" x14ac:dyDescent="0.25">
      <c r="A6" s="22" cm="1">
        <f t="array" aca="1" ref="A6" ca="1">IF('Boarder-List'!A6&lt;&gt;0,'Boarder-List'!A6,CELL("contents",INDIRECT(ADDRESS(ROW()-1,COLUMN()))) + 1)</f>
        <v>5</v>
      </c>
      <c r="B6" s="22" t="str">
        <f ca="1">IF(VLOOKUP(A6,'Boarder-List'!$A:$B,2,0) = "", "**Unoccupied**", VLOOKUP(A6,'Boarder-List'!$A:$B,2,0))</f>
        <v>E</v>
      </c>
      <c r="C6" s="10" t="s">
        <v>34</v>
      </c>
      <c r="D6" s="10" t="s">
        <v>34</v>
      </c>
      <c r="E6" s="10" t="s">
        <v>34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3" cm="1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VLOOKUP(INDIRECT(ADDRESS(1, 6)):INDIRECT(ADDRESS(1, COLUMN() - 1)),$R:$S,2,0))), "-")</f>
        <v>125</v>
      </c>
      <c r="R6" s="22" t="s">
        <v>36</v>
      </c>
      <c r="S6" s="22">
        <v>25</v>
      </c>
    </row>
    <row r="7" spans="1:32" ht="32.25" customHeight="1" x14ac:dyDescent="0.25">
      <c r="A7" s="22" cm="1">
        <f t="array" aca="1" ref="A7" ca="1">IF('Boarder-List'!A7&lt;&gt;0,'Boarder-List'!A7,CELL("contents",INDIRECT(ADDRESS(ROW()-1,COLUMN()))) + 1)</f>
        <v>6</v>
      </c>
      <c r="B7" s="22" t="str">
        <f ca="1">IF(VLOOKUP(A7,'Boarder-List'!$A:$B,2,0) = "", "**Unoccupied**", VLOOKUP(A7,'Boarder-List'!$A:$B,2,0))</f>
        <v>F</v>
      </c>
      <c r="C7" s="10" t="s">
        <v>34</v>
      </c>
      <c r="D7" s="10" t="s">
        <v>34</v>
      </c>
      <c r="E7" s="10" t="s">
        <v>34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3" cm="1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VLOOKUP(INDIRECT(ADDRESS(1, 6)):INDIRECT(ADDRESS(1, COLUMN() - 1)),$R:$S,2,0))), "-")</f>
        <v>125</v>
      </c>
      <c r="R7" s="22" t="s">
        <v>31</v>
      </c>
      <c r="S7" s="22">
        <v>10</v>
      </c>
    </row>
    <row r="8" spans="1:32" ht="32.25" customHeight="1" x14ac:dyDescent="0.25">
      <c r="A8" s="22" cm="1">
        <f t="array" aca="1" ref="A8" ca="1">IF('Boarder-List'!A8&lt;&gt;0,'Boarder-List'!A8,CELL("contents",INDIRECT(ADDRESS(ROW()-1,COLUMN()))) + 1)</f>
        <v>7</v>
      </c>
      <c r="B8" s="22" t="str">
        <f ca="1">IF(VLOOKUP(A8,'Boarder-List'!$A:$B,2,0) = "", "**Unoccupied**", VLOOKUP(A8,'Boarder-List'!$A:$B,2,0))</f>
        <v>Surja Sanyal</v>
      </c>
      <c r="C8" s="10" t="s">
        <v>34</v>
      </c>
      <c r="D8" s="10" t="s">
        <v>34</v>
      </c>
      <c r="E8" s="10" t="s">
        <v>34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3" cm="1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VLOOKUP(INDIRECT(ADDRESS(1, 6)):INDIRECT(ADDRESS(1, COLUMN() - 1)),$R:$S,2,0))), "-")</f>
        <v>125</v>
      </c>
      <c r="R8" s="22" t="s">
        <v>32</v>
      </c>
      <c r="S8" s="22">
        <v>15</v>
      </c>
    </row>
    <row r="9" spans="1:32" ht="32.25" customHeight="1" x14ac:dyDescent="0.25">
      <c r="A9" s="22" cm="1">
        <f t="array" aca="1" ref="A9" ca="1">IF('Boarder-List'!A9&lt;&gt;0,'Boarder-List'!A9,CELL("contents",INDIRECT(ADDRESS(ROW()-1,COLUMN()))) + 1)</f>
        <v>8</v>
      </c>
      <c r="B9" s="22" t="str">
        <f ca="1">IF(VLOOKUP(A9,'Boarder-List'!$A:$B,2,0) = "", "**Unoccupied**", VLOOKUP(A9,'Boarder-List'!$A:$B,2,0))</f>
        <v>G</v>
      </c>
      <c r="C9" s="10" t="s">
        <v>34</v>
      </c>
      <c r="D9" s="10" t="s">
        <v>34</v>
      </c>
      <c r="E9" s="10" t="s">
        <v>34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3" cm="1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VLOOKUP(INDIRECT(ADDRESS(1, 6)):INDIRECT(ADDRESS(1, COLUMN() - 1)),$R:$S,2,0))), "-")</f>
        <v>125</v>
      </c>
      <c r="R9" s="22" t="s">
        <v>33</v>
      </c>
      <c r="S9" s="22">
        <v>12</v>
      </c>
    </row>
    <row r="10" spans="1:32" ht="32.25" customHeight="1" x14ac:dyDescent="0.25">
      <c r="A10" s="22" cm="1">
        <f t="array" aca="1" ref="A10" ca="1">IF('Boarder-List'!A10&lt;&gt;0,'Boarder-List'!A10,CELL("contents",INDIRECT(ADDRESS(ROW()-1,COLUMN()))) + 1)</f>
        <v>9</v>
      </c>
      <c r="B10" s="22" t="str">
        <f ca="1">IF(VLOOKUP(A10,'Boarder-List'!$A:$B,2,0) = "", "**Unoccupied**", VLOOKUP(A10,'Boarder-List'!$A:$B,2,0))</f>
        <v>H</v>
      </c>
      <c r="C10" s="10" t="s">
        <v>34</v>
      </c>
      <c r="D10" s="10" t="s">
        <v>34</v>
      </c>
      <c r="E10" s="10" t="s">
        <v>34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3" cm="1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VLOOKUP(INDIRECT(ADDRESS(1, 6)):INDIRECT(ADDRESS(1, COLUMN() - 1)),$R:$S,2,0))), "-")</f>
        <v>125</v>
      </c>
    </row>
    <row r="11" spans="1:32" ht="32.25" customHeight="1" x14ac:dyDescent="0.25">
      <c r="A11" s="22" cm="1">
        <f t="array" aca="1" ref="A11" ca="1">IF('Boarder-List'!A11&lt;&gt;0,'Boarder-List'!A11,CELL("contents",INDIRECT(ADDRESS(ROW()-1,COLUMN()))) + 1)</f>
        <v>10</v>
      </c>
      <c r="B11" s="22" t="str">
        <f ca="1">IF(VLOOKUP(A11,'Boarder-List'!$A:$B,2,0) = "", "**Unoccupied**", VLOOKUP(A11,'Boarder-List'!$A:$B,2,0))</f>
        <v>I</v>
      </c>
      <c r="C11" s="10" t="s">
        <v>34</v>
      </c>
      <c r="D11" s="10" t="s">
        <v>34</v>
      </c>
      <c r="E11" s="10" t="s">
        <v>34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3" cm="1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VLOOKUP(INDIRECT(ADDRESS(1, 6)):INDIRECT(ADDRESS(1, COLUMN() - 1)),$R:$S,2,0))), "-")</f>
        <v>125</v>
      </c>
    </row>
    <row r="12" spans="1:32" ht="32.25" customHeight="1" x14ac:dyDescent="0.25">
      <c r="A12" s="22" cm="1">
        <f t="array" aca="1" ref="A12" ca="1">IF('Boarder-List'!A12&lt;&gt;0,'Boarder-List'!A12,CELL("contents",INDIRECT(ADDRESS(ROW()-1,COLUMN()))) + 1)</f>
        <v>11</v>
      </c>
      <c r="B12" s="22" t="str">
        <f ca="1">IF(VLOOKUP(A12,'Boarder-List'!$A:$B,2,0) = "", "**Unoccupied**", VLOOKUP(A12,'Boarder-List'!$A:$B,2,0))</f>
        <v>Shweta</v>
      </c>
      <c r="C12" s="10" t="s">
        <v>34</v>
      </c>
      <c r="D12" s="10" t="s">
        <v>34</v>
      </c>
      <c r="E12" s="10" t="s">
        <v>34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3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125</v>
      </c>
    </row>
    <row r="13" spans="1:32" ht="32.25" customHeight="1" x14ac:dyDescent="0.25">
      <c r="A13" s="22" cm="1">
        <f t="array" aca="1" ref="A13" ca="1">IF('Boarder-List'!A13&lt;&gt;0,'Boarder-List'!A13,CELL("contents",INDIRECT(ADDRESS(ROW()-1,COLUMN()))) + 1)</f>
        <v>12</v>
      </c>
      <c r="B13" s="22" t="str">
        <f ca="1">IF(VLOOKUP(A13,'Boarder-List'!$A:$B,2,0) = "", "**Unoccupied**", VLOOKUP(A13,'Boarder-List'!$A:$B,2,0))</f>
        <v>Pratik Sir</v>
      </c>
      <c r="C13" s="10" t="s">
        <v>34</v>
      </c>
      <c r="D13" s="10" t="s">
        <v>34</v>
      </c>
      <c r="E13" s="10" t="s">
        <v>34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3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125</v>
      </c>
    </row>
    <row r="14" spans="1:32" ht="32.25" customHeight="1" x14ac:dyDescent="0.25">
      <c r="A14" s="22" cm="1">
        <f t="array" aca="1" ref="A14" ca="1">IF('Boarder-List'!A14&lt;&gt;0,'Boarder-List'!A14,CELL("contents",INDIRECT(ADDRESS(ROW()-1,COLUMN()))) + 1)</f>
        <v>13</v>
      </c>
      <c r="B14" s="22" t="str">
        <f ca="1">IF(VLOOKUP(A14,'Boarder-List'!$A:$B,2,0) = "", "**Unoccupied**", VLOOKUP(A14,'Boarder-List'!$A:$B,2,0))</f>
        <v>**Unoccupied**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 cm="1">
        <f t="array" aca="1" ref="A15" ca="1">IF('Boarder-List'!A15&lt;&gt;0,'Boarder-List'!A15,CELL("contents",INDIRECT(ADDRESS(ROW()-1,COLUMN()))) + 1)</f>
        <v>14</v>
      </c>
      <c r="B15" s="22" t="str">
        <f ca="1">IF(VLOOKUP(A15,'Boarder-List'!$A:$B,2,0) = "", "**Unoccupied**", VLOOKUP(A15,'Boarder-List'!$A:$B,2,0))</f>
        <v>**Unoccupied**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 cm="1">
        <f t="array" aca="1" ref="A16" ca="1">IF('Boarder-List'!A16&lt;&gt;0,'Boarder-List'!A16,CELL("contents",INDIRECT(ADDRESS(ROW()-1,COLUMN()))) + 1)</f>
        <v>15</v>
      </c>
      <c r="B16" s="22" t="str">
        <f ca="1">IF(VLOOKUP(A16,'Boarder-List'!$A:$B,2,0) = "", "**Unoccupied**", VLOOKUP(A16,'Boarder-List'!$A:$B,2,0))</f>
        <v>**Unoccupied**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honeticPr fontId="3" type="noConversion"/>
  <conditionalFormatting sqref="C2:E16">
    <cfRule type="cellIs" dxfId="24" priority="22" operator="equal">
      <formula>$V$2</formula>
    </cfRule>
  </conditionalFormatting>
  <conditionalFormatting sqref="V2">
    <cfRule type="cellIs" dxfId="23" priority="21" operator="equal">
      <formula>$V$2</formula>
    </cfRule>
  </conditionalFormatting>
  <conditionalFormatting sqref="F2:F13">
    <cfRule type="cellIs" dxfId="22" priority="23" stopIfTrue="1" operator="greaterThan">
      <formula>0</formula>
    </cfRule>
  </conditionalFormatting>
  <conditionalFormatting sqref="G2:G13">
    <cfRule type="cellIs" dxfId="21" priority="24" stopIfTrue="1" operator="greaterThan">
      <formula>0</formula>
    </cfRule>
  </conditionalFormatting>
  <conditionalFormatting sqref="H2:H13">
    <cfRule type="cellIs" dxfId="20" priority="25" stopIfTrue="1" operator="greaterThan">
      <formula>0</formula>
    </cfRule>
  </conditionalFormatting>
  <conditionalFormatting sqref="I2:I13">
    <cfRule type="cellIs" dxfId="18" priority="28" stopIfTrue="1" operator="greaterThan">
      <formula>0</formula>
    </cfRule>
  </conditionalFormatting>
  <conditionalFormatting sqref="J2:J13">
    <cfRule type="cellIs" dxfId="16" priority="29" stopIfTrue="1" operator="greaterThan">
      <formula>0</formula>
    </cfRule>
  </conditionalFormatting>
  <conditionalFormatting sqref="K2:K13">
    <cfRule type="cellIs" dxfId="15" priority="30" stopIfTrue="1" operator="greaterThan">
      <formula>0</formula>
    </cfRule>
  </conditionalFormatting>
  <conditionalFormatting sqref="L2:L13">
    <cfRule type="cellIs" dxfId="14" priority="31" stopIfTrue="1" operator="greaterThan">
      <formula>0</formula>
    </cfRule>
  </conditionalFormatting>
  <conditionalFormatting sqref="M2:M13">
    <cfRule type="cellIs" dxfId="0" priority="32" stopIfTrue="1" operator="greaterThan">
      <formula>0</formula>
    </cfRule>
  </conditionalFormatting>
  <dataValidations count="1">
    <dataValidation type="list" allowBlank="1" showInputMessage="1" showErrorMessage="1" sqref="C2:E16" xr:uid="{06A63002-6FB1-4CA4-9B4A-489883B105C6}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47625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4" r:id="rId5" name="Spinner 3234">
              <controlPr defaultSize="0" autoPict="0">
                <anchor moveWithCells="1" sizeWithCells="1">
                  <from>
                    <xdr:col>5</xdr:col>
                    <xdr:colOff>409575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5" r:id="rId6" name="Spinner 3235">
              <controlPr defaultSize="0" autoPict="0">
                <anchor moveWithCells="1" sizeWithCells="1">
                  <from>
                    <xdr:col>5</xdr:col>
                    <xdr:colOff>409575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6" r:id="rId7" name="Spinner 3236">
              <controlPr defaultSize="0" autoPict="0">
                <anchor moveWithCells="1" sizeWithCells="1">
                  <from>
                    <xdr:col>5</xdr:col>
                    <xdr:colOff>409575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7" r:id="rId8" name="Spinner 3237">
              <controlPr defaultSize="0" autoPict="0">
                <anchor moveWithCells="1" sizeWithCells="1">
                  <from>
                    <xdr:col>5</xdr:col>
                    <xdr:colOff>409575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8" r:id="rId9" name="Spinner 3238">
              <controlPr defaultSize="0" autoPict="0">
                <anchor moveWithCells="1" sizeWithCells="1">
                  <from>
                    <xdr:col>5</xdr:col>
                    <xdr:colOff>409575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9" r:id="rId10" name="Spinner 3239">
              <controlPr defaultSize="0" autoPict="0">
                <anchor moveWithCells="1" sizeWithCells="1">
                  <from>
                    <xdr:col>5</xdr:col>
                    <xdr:colOff>409575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0" r:id="rId11" name="Spinner 3240">
              <controlPr defaultSize="0" autoPict="0">
                <anchor moveWithCells="1" sizeWithCells="1">
                  <from>
                    <xdr:col>5</xdr:col>
                    <xdr:colOff>409575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1" r:id="rId12" name="Spinner 3241">
              <controlPr defaultSize="0" autoPict="0">
                <anchor moveWithCells="1" sizeWithCells="1">
                  <from>
                    <xdr:col>5</xdr:col>
                    <xdr:colOff>409575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2" r:id="rId13" name="Spinner 3242">
              <controlPr defaultSize="0" autoPict="0">
                <anchor moveWithCells="1" sizeWithCells="1">
                  <from>
                    <xdr:col>5</xdr:col>
                    <xdr:colOff>409575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3" r:id="rId14" name="Spinner 3243">
              <controlPr defaultSize="0" autoPict="0">
                <anchor moveWithCells="1" sizeWithCells="1">
                  <from>
                    <xdr:col>5</xdr:col>
                    <xdr:colOff>409575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4" r:id="rId15" name="Spinner 3244">
              <controlPr defaultSize="0" autoPict="0">
                <anchor moveWithCells="1" sizeWithCells="1">
                  <from>
                    <xdr:col>5</xdr:col>
                    <xdr:colOff>409575</xdr:colOff>
                    <xdr:row>11</xdr:row>
                    <xdr:rowOff>38100</xdr:rowOff>
                  </from>
                  <to>
                    <xdr:col>6</xdr:col>
                    <xdr:colOff>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5" r:id="rId16" name="Spinner 3245">
              <controlPr defaultSize="0" autoPict="0">
                <anchor moveWithCells="1" sizeWithCells="1">
                  <from>
                    <xdr:col>5</xdr:col>
                    <xdr:colOff>409575</xdr:colOff>
                    <xdr:row>12</xdr:row>
                    <xdr:rowOff>38100</xdr:rowOff>
                  </from>
                  <to>
                    <xdr:col>6</xdr:col>
                    <xdr:colOff>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6" r:id="rId17" name="Spinner 3246">
              <controlPr defaultSize="0" autoPict="0">
                <anchor moveWithCells="1" sizeWithCells="1">
                  <from>
                    <xdr:col>6</xdr:col>
                    <xdr:colOff>409575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7" r:id="rId18" name="Spinner 3247">
              <controlPr defaultSize="0" autoPict="0">
                <anchor moveWithCells="1" sizeWithCells="1">
                  <from>
                    <xdr:col>6</xdr:col>
                    <xdr:colOff>409575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8" r:id="rId19" name="Spinner 3248">
              <controlPr defaultSize="0" autoPict="0">
                <anchor moveWithCells="1" sizeWithCells="1">
                  <from>
                    <xdr:col>6</xdr:col>
                    <xdr:colOff>409575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9" r:id="rId20" name="Spinner 3249">
              <controlPr defaultSize="0" autoPict="0">
                <anchor moveWithCells="1" sizeWithCells="1">
                  <from>
                    <xdr:col>6</xdr:col>
                    <xdr:colOff>409575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0" r:id="rId21" name="Spinner 3250">
              <controlPr defaultSize="0" autoPict="0">
                <anchor moveWithCells="1" sizeWithCells="1">
                  <from>
                    <xdr:col>6</xdr:col>
                    <xdr:colOff>409575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1" r:id="rId22" name="Spinner 3251">
              <controlPr defaultSize="0" autoPict="0">
                <anchor moveWithCells="1" sizeWithCells="1">
                  <from>
                    <xdr:col>6</xdr:col>
                    <xdr:colOff>409575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2" r:id="rId23" name="Spinner 3252">
              <controlPr defaultSize="0" autoPict="0">
                <anchor moveWithCells="1" sizeWithCells="1">
                  <from>
                    <xdr:col>6</xdr:col>
                    <xdr:colOff>409575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3" r:id="rId24" name="Spinner 3253">
              <controlPr defaultSize="0" autoPict="0">
                <anchor moveWithCells="1" sizeWithCells="1">
                  <from>
                    <xdr:col>6</xdr:col>
                    <xdr:colOff>409575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4" r:id="rId25" name="Spinner 3254">
              <controlPr defaultSize="0" autoPict="0">
                <anchor moveWithCells="1" sizeWithCells="1">
                  <from>
                    <xdr:col>6</xdr:col>
                    <xdr:colOff>409575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5" r:id="rId26" name="Spinner 3255">
              <controlPr defaultSize="0" autoPict="0">
                <anchor moveWithCells="1" sizeWithCells="1">
                  <from>
                    <xdr:col>6</xdr:col>
                    <xdr:colOff>409575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6" r:id="rId27" name="Spinner 3256">
              <controlPr defaultSize="0" autoPict="0">
                <anchor moveWithCells="1" sizeWithCells="1">
                  <from>
                    <xdr:col>6</xdr:col>
                    <xdr:colOff>409575</xdr:colOff>
                    <xdr:row>11</xdr:row>
                    <xdr:rowOff>38100</xdr:rowOff>
                  </from>
                  <to>
                    <xdr:col>7</xdr:col>
                    <xdr:colOff>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7" r:id="rId28" name="Spinner 3257">
              <controlPr defaultSize="0" autoPict="0">
                <anchor moveWithCells="1" sizeWithCells="1">
                  <from>
                    <xdr:col>6</xdr:col>
                    <xdr:colOff>409575</xdr:colOff>
                    <xdr:row>12</xdr:row>
                    <xdr:rowOff>38100</xdr:rowOff>
                  </from>
                  <to>
                    <xdr:col>7</xdr:col>
                    <xdr:colOff>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8" r:id="rId29" name="Spinner 3258">
              <controlPr defaultSize="0" autoPict="0">
                <anchor moveWithCells="1" sizeWithCells="1">
                  <from>
                    <xdr:col>7</xdr:col>
                    <xdr:colOff>409575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9" r:id="rId30" name="Spinner 3259">
              <controlPr defaultSize="0" autoPict="0">
                <anchor moveWithCells="1" sizeWithCells="1">
                  <from>
                    <xdr:col>7</xdr:col>
                    <xdr:colOff>409575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0" r:id="rId31" name="Spinner 3260">
              <controlPr defaultSize="0" autoPict="0">
                <anchor moveWithCells="1" sizeWithCells="1">
                  <from>
                    <xdr:col>7</xdr:col>
                    <xdr:colOff>409575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1" r:id="rId32" name="Spinner 3261">
              <controlPr defaultSize="0" autoPict="0">
                <anchor moveWithCells="1" sizeWithCells="1">
                  <from>
                    <xdr:col>7</xdr:col>
                    <xdr:colOff>409575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2" r:id="rId33" name="Spinner 3262">
              <controlPr defaultSize="0" autoPict="0">
                <anchor moveWithCells="1" sizeWithCells="1">
                  <from>
                    <xdr:col>7</xdr:col>
                    <xdr:colOff>409575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3" r:id="rId34" name="Spinner 3263">
              <controlPr defaultSize="0" autoPict="0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4" r:id="rId35" name="Spinner 3264">
              <controlPr defaultSize="0" autoPict="0">
                <anchor moveWithCells="1" sizeWithCells="1">
                  <from>
                    <xdr:col>7</xdr:col>
                    <xdr:colOff>409575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5" r:id="rId36" name="Spinner 3265">
              <controlPr defaultSize="0" autoPict="0">
                <anchor moveWithCells="1" sizeWithCells="1">
                  <from>
                    <xdr:col>7</xdr:col>
                    <xdr:colOff>409575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6" r:id="rId37" name="Spinner 3266">
              <controlPr defaultSize="0" autoPict="0">
                <anchor moveWithCells="1" sizeWithCells="1">
                  <from>
                    <xdr:col>7</xdr:col>
                    <xdr:colOff>409575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7" r:id="rId38" name="Spinner 3267">
              <controlPr defaultSize="0" autoPict="0">
                <anchor moveWithCells="1" sizeWithCells="1">
                  <from>
                    <xdr:col>7</xdr:col>
                    <xdr:colOff>409575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8" r:id="rId39" name="Spinner 3268">
              <controlPr defaultSize="0" autoPict="0">
                <anchor moveWithCells="1" sizeWithCells="1">
                  <from>
                    <xdr:col>7</xdr:col>
                    <xdr:colOff>409575</xdr:colOff>
                    <xdr:row>11</xdr:row>
                    <xdr:rowOff>38100</xdr:rowOff>
                  </from>
                  <to>
                    <xdr:col>8</xdr:col>
                    <xdr:colOff>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9" r:id="rId40" name="Spinner 3269">
              <controlPr defaultSize="0" autoPict="0">
                <anchor moveWithCells="1" sizeWithCells="1">
                  <from>
                    <xdr:col>7</xdr:col>
                    <xdr:colOff>409575</xdr:colOff>
                    <xdr:row>12</xdr:row>
                    <xdr:rowOff>38100</xdr:rowOff>
                  </from>
                  <to>
                    <xdr:col>8</xdr:col>
                    <xdr:colOff>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4" r:id="rId41" name="Spinner 3294">
              <controlPr defaultSize="0" autoPict="0">
                <anchor moveWithCells="1" sizeWithCells="1">
                  <from>
                    <xdr:col>8</xdr:col>
                    <xdr:colOff>409575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5" r:id="rId42" name="Spinner 3295">
              <controlPr defaultSize="0" autoPict="0">
                <anchor moveWithCells="1" sizeWithCells="1">
                  <from>
                    <xdr:col>8</xdr:col>
                    <xdr:colOff>409575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6" r:id="rId43" name="Spinner 3296">
              <controlPr defaultSize="0" autoPict="0">
                <anchor moveWithCells="1" sizeWithCells="1">
                  <from>
                    <xdr:col>8</xdr:col>
                    <xdr:colOff>409575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7" r:id="rId44" name="Spinner 3297">
              <controlPr defaultSize="0" autoPict="0">
                <anchor moveWithCells="1" sizeWithCells="1">
                  <from>
                    <xdr:col>8</xdr:col>
                    <xdr:colOff>409575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8" r:id="rId45" name="Spinner 3298">
              <controlPr defaultSize="0" autoPict="0">
                <anchor moveWithCells="1" sizeWithCells="1">
                  <from>
                    <xdr:col>8</xdr:col>
                    <xdr:colOff>409575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9" r:id="rId46" name="Spinner 3299">
              <controlPr defaultSize="0" autoPict="0">
                <anchor moveWithCells="1" sizeWithCells="1">
                  <from>
                    <xdr:col>8</xdr:col>
                    <xdr:colOff>409575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0" r:id="rId47" name="Spinner 3300">
              <controlPr defaultSize="0" autoPict="0">
                <anchor moveWithCells="1" sizeWithCells="1">
                  <from>
                    <xdr:col>8</xdr:col>
                    <xdr:colOff>409575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1" r:id="rId48" name="Spinner 3301">
              <controlPr defaultSize="0" autoPict="0">
                <anchor moveWithCells="1" sizeWithCells="1">
                  <from>
                    <xdr:col>8</xdr:col>
                    <xdr:colOff>409575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2" r:id="rId49" name="Spinner 3302">
              <controlPr defaultSize="0" autoPict="0">
                <anchor moveWithCells="1" sizeWithCells="1">
                  <from>
                    <xdr:col>8</xdr:col>
                    <xdr:colOff>409575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3" r:id="rId50" name="Spinner 3303">
              <controlPr defaultSize="0" autoPict="0">
                <anchor moveWithCells="1" sizeWithCells="1">
                  <from>
                    <xdr:col>8</xdr:col>
                    <xdr:colOff>409575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4" r:id="rId51" name="Spinner 3304">
              <controlPr defaultSize="0" autoPict="0">
                <anchor moveWithCells="1" sizeWithCells="1">
                  <from>
                    <xdr:col>8</xdr:col>
                    <xdr:colOff>409575</xdr:colOff>
                    <xdr:row>11</xdr:row>
                    <xdr:rowOff>38100</xdr:rowOff>
                  </from>
                  <to>
                    <xdr:col>9</xdr:col>
                    <xdr:colOff>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5" r:id="rId52" name="Spinner 3305">
              <controlPr defaultSize="0" autoPict="0">
                <anchor moveWithCells="1" sizeWithCells="1">
                  <from>
                    <xdr:col>8</xdr:col>
                    <xdr:colOff>409575</xdr:colOff>
                    <xdr:row>12</xdr:row>
                    <xdr:rowOff>38100</xdr:rowOff>
                  </from>
                  <to>
                    <xdr:col>9</xdr:col>
                    <xdr:colOff>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6" r:id="rId53" name="Spinner 3306">
              <controlPr defaultSize="0" autoPict="0">
                <anchor moveWithCells="1" sizeWithCells="1">
                  <from>
                    <xdr:col>9</xdr:col>
                    <xdr:colOff>409575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7" r:id="rId54" name="Spinner 3307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8" r:id="rId55" name="Spinner 3308">
              <controlPr defaultSize="0" autoPict="0">
                <anchor moveWithCells="1" sizeWithCells="1">
                  <from>
                    <xdr:col>9</xdr:col>
                    <xdr:colOff>409575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9" r:id="rId56" name="Spinner 3309">
              <controlPr defaultSize="0" autoPict="0">
                <anchor moveWithCells="1" sizeWithCells="1">
                  <from>
                    <xdr:col>9</xdr:col>
                    <xdr:colOff>409575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0" r:id="rId57" name="Spinner 3310">
              <controlPr defaultSize="0" autoPict="0">
                <anchor moveWithCells="1" sizeWithCells="1">
                  <from>
                    <xdr:col>9</xdr:col>
                    <xdr:colOff>409575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1" r:id="rId58" name="Spinner 3311">
              <controlPr defaultSize="0" autoPict="0">
                <anchor moveWithCells="1" sizeWithCells="1">
                  <from>
                    <xdr:col>9</xdr:col>
                    <xdr:colOff>409575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2" r:id="rId59" name="Spinner 3312">
              <controlPr defaultSize="0" autoPict="0">
                <anchor moveWithCells="1" sizeWithCells="1">
                  <from>
                    <xdr:col>9</xdr:col>
                    <xdr:colOff>409575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3" r:id="rId60" name="Spinner 3313">
              <controlPr defaultSize="0" autoPict="0">
                <anchor moveWithCells="1" sizeWithCells="1">
                  <from>
                    <xdr:col>9</xdr:col>
                    <xdr:colOff>409575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4" r:id="rId61" name="Spinner 3314">
              <controlPr defaultSize="0" autoPict="0">
                <anchor moveWithCells="1" sizeWithCells="1">
                  <from>
                    <xdr:col>9</xdr:col>
                    <xdr:colOff>409575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5" r:id="rId62" name="Spinner 3315">
              <controlPr defaultSize="0" autoPict="0">
                <anchor moveWithCells="1" sizeWithCells="1">
                  <from>
                    <xdr:col>9</xdr:col>
                    <xdr:colOff>409575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6" r:id="rId63" name="Spinner 3316">
              <controlPr defaultSize="0" autoPict="0">
                <anchor moveWithCells="1" sizeWithCells="1">
                  <from>
                    <xdr:col>9</xdr:col>
                    <xdr:colOff>409575</xdr:colOff>
                    <xdr:row>11</xdr:row>
                    <xdr:rowOff>38100</xdr:rowOff>
                  </from>
                  <to>
                    <xdr:col>10</xdr:col>
                    <xdr:colOff>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7" r:id="rId64" name="Spinner 3317">
              <controlPr defaultSize="0" autoPict="0">
                <anchor moveWithCells="1" sizeWithCells="1">
                  <from>
                    <xdr:col>9</xdr:col>
                    <xdr:colOff>409575</xdr:colOff>
                    <xdr:row>12</xdr:row>
                    <xdr:rowOff>38100</xdr:rowOff>
                  </from>
                  <to>
                    <xdr:col>10</xdr:col>
                    <xdr:colOff>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8" r:id="rId65" name="Spinner 3318">
              <controlPr defaultSize="0" autoPict="0">
                <anchor moveWithCells="1" sizeWithCells="1">
                  <from>
                    <xdr:col>10</xdr:col>
                    <xdr:colOff>409575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9" r:id="rId66" name="Spinner 3319">
              <controlPr defaultSize="0" autoPict="0">
                <anchor moveWithCells="1" sizeWithCells="1">
                  <from>
                    <xdr:col>10</xdr:col>
                    <xdr:colOff>409575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0" r:id="rId67" name="Spinner 3320">
              <controlPr defaultSize="0" autoPict="0">
                <anchor moveWithCells="1" sizeWithCells="1">
                  <from>
                    <xdr:col>10</xdr:col>
                    <xdr:colOff>409575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1" r:id="rId68" name="Spinner 3321">
              <controlPr defaultSize="0" autoPict="0">
                <anchor moveWithCells="1" sizeWithCells="1">
                  <from>
                    <xdr:col>10</xdr:col>
                    <xdr:colOff>409575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2" r:id="rId69" name="Spinner 3322">
              <controlPr defaultSize="0" autoPict="0">
                <anchor moveWithCells="1" sizeWithCells="1">
                  <from>
                    <xdr:col>10</xdr:col>
                    <xdr:colOff>409575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3" r:id="rId70" name="Spinner 3323">
              <controlPr defaultSize="0" autoPict="0">
                <anchor moveWithCells="1" sizeWithCells="1">
                  <from>
                    <xdr:col>10</xdr:col>
                    <xdr:colOff>409575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4" r:id="rId71" name="Spinner 3324">
              <controlPr defaultSize="0" autoPict="0">
                <anchor moveWithCells="1" sizeWithCells="1">
                  <from>
                    <xdr:col>10</xdr:col>
                    <xdr:colOff>409575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5" r:id="rId72" name="Spinner 3325">
              <controlPr defaultSize="0" autoPict="0">
                <anchor moveWithCells="1" sizeWithCells="1">
                  <from>
                    <xdr:col>10</xdr:col>
                    <xdr:colOff>409575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6" r:id="rId73" name="Spinner 3326">
              <controlPr defaultSize="0" autoPict="0">
                <anchor moveWithCells="1" sizeWithCells="1">
                  <from>
                    <xdr:col>10</xdr:col>
                    <xdr:colOff>409575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7" r:id="rId74" name="Spinner 3327">
              <controlPr defaultSize="0" autoPict="0">
                <anchor moveWithCells="1" sizeWithCells="1">
                  <from>
                    <xdr:col>10</xdr:col>
                    <xdr:colOff>409575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8" r:id="rId75" name="Spinner 3328">
              <controlPr defaultSize="0" autoPict="0">
                <anchor moveWithCells="1" sizeWithCells="1">
                  <from>
                    <xdr:col>10</xdr:col>
                    <xdr:colOff>409575</xdr:colOff>
                    <xdr:row>11</xdr:row>
                    <xdr:rowOff>38100</xdr:rowOff>
                  </from>
                  <to>
                    <xdr:col>11</xdr:col>
                    <xdr:colOff>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9" r:id="rId76" name="Spinner 3329">
              <controlPr defaultSize="0" autoPict="0">
                <anchor moveWithCells="1" sizeWithCells="1">
                  <from>
                    <xdr:col>10</xdr:col>
                    <xdr:colOff>409575</xdr:colOff>
                    <xdr:row>12</xdr:row>
                    <xdr:rowOff>38100</xdr:rowOff>
                  </from>
                  <to>
                    <xdr:col>11</xdr:col>
                    <xdr:colOff>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0" r:id="rId77" name="Spinner 3330">
              <controlPr defaultSize="0" autoPict="0">
                <anchor moveWithCells="1" sizeWithCells="1">
                  <from>
                    <xdr:col>11</xdr:col>
                    <xdr:colOff>409575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1" r:id="rId78" name="Spinner 3331">
              <controlPr defaultSize="0" autoPict="0">
                <anchor moveWithCells="1" sizeWithCells="1">
                  <from>
                    <xdr:col>11</xdr:col>
                    <xdr:colOff>409575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2" r:id="rId79" name="Spinner 3332">
              <controlPr defaultSize="0" autoPict="0">
                <anchor moveWithCells="1" sizeWithCells="1">
                  <from>
                    <xdr:col>11</xdr:col>
                    <xdr:colOff>409575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3" r:id="rId80" name="Spinner 3333">
              <controlPr defaultSize="0" autoPict="0">
                <anchor moveWithCells="1" sizeWithCells="1">
                  <from>
                    <xdr:col>11</xdr:col>
                    <xdr:colOff>409575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4" r:id="rId81" name="Spinner 3334">
              <controlPr defaultSize="0" autoPict="0">
                <anchor moveWithCells="1" sizeWithCells="1">
                  <from>
                    <xdr:col>11</xdr:col>
                    <xdr:colOff>409575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5" r:id="rId82" name="Spinner 3335">
              <controlPr defaultSize="0" autoPict="0">
                <anchor moveWithCells="1" sizeWithCells="1">
                  <from>
                    <xdr:col>11</xdr:col>
                    <xdr:colOff>409575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6" r:id="rId83" name="Spinner 3336">
              <controlPr defaultSize="0" autoPict="0">
                <anchor moveWithCells="1" sizeWithCells="1">
                  <from>
                    <xdr:col>11</xdr:col>
                    <xdr:colOff>409575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7" r:id="rId84" name="Spinner 3337">
              <controlPr defaultSize="0" autoPict="0">
                <anchor moveWithCells="1" sizeWithCells="1">
                  <from>
                    <xdr:col>11</xdr:col>
                    <xdr:colOff>409575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8" r:id="rId85" name="Spinner 3338">
              <controlPr defaultSize="0" autoPict="0">
                <anchor moveWithCells="1" sizeWithCells="1">
                  <from>
                    <xdr:col>11</xdr:col>
                    <xdr:colOff>409575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9" r:id="rId86" name="Spinner 3339">
              <controlPr defaultSize="0" autoPict="0">
                <anchor moveWithCells="1" sizeWithCells="1">
                  <from>
                    <xdr:col>11</xdr:col>
                    <xdr:colOff>409575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0" r:id="rId87" name="Spinner 3340">
              <controlPr defaultSize="0" autoPict="0">
                <anchor moveWithCells="1" sizeWithCells="1">
                  <from>
                    <xdr:col>11</xdr:col>
                    <xdr:colOff>409575</xdr:colOff>
                    <xdr:row>11</xdr:row>
                    <xdr:rowOff>38100</xdr:rowOff>
                  </from>
                  <to>
                    <xdr:col>12</xdr:col>
                    <xdr:colOff>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1" r:id="rId88" name="Spinner 3341">
              <controlPr defaultSize="0" autoPict="0">
                <anchor moveWithCells="1" sizeWithCells="1">
                  <from>
                    <xdr:col>11</xdr:col>
                    <xdr:colOff>409575</xdr:colOff>
                    <xdr:row>12</xdr:row>
                    <xdr:rowOff>38100</xdr:rowOff>
                  </from>
                  <to>
                    <xdr:col>12</xdr:col>
                    <xdr:colOff>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2" r:id="rId89" name="Spinner 3342">
              <controlPr defaultSize="0" autoPict="0">
                <anchor moveWithCells="1" sizeWithCells="1">
                  <from>
                    <xdr:col>12</xdr:col>
                    <xdr:colOff>409575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3" r:id="rId90" name="Spinner 3343">
              <controlPr defaultSize="0" autoPict="0">
                <anchor moveWithCells="1" sizeWithCells="1">
                  <from>
                    <xdr:col>12</xdr:col>
                    <xdr:colOff>409575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4" r:id="rId91" name="Spinner 3344">
              <controlPr defaultSize="0" autoPict="0">
                <anchor moveWithCells="1" sizeWithCells="1">
                  <from>
                    <xdr:col>12</xdr:col>
                    <xdr:colOff>409575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5" r:id="rId92" name="Spinner 3345">
              <controlPr defaultSize="0" autoPict="0">
                <anchor moveWithCells="1" sizeWithCells="1">
                  <from>
                    <xdr:col>12</xdr:col>
                    <xdr:colOff>409575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6" r:id="rId93" name="Spinner 3346">
              <controlPr defaultSize="0" autoPict="0">
                <anchor moveWithCells="1" sizeWithCells="1">
                  <from>
                    <xdr:col>12</xdr:col>
                    <xdr:colOff>409575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7" r:id="rId94" name="Spinner 3347">
              <controlPr defaultSize="0" autoPict="0">
                <anchor moveWithCells="1" sizeWithCells="1">
                  <from>
                    <xdr:col>12</xdr:col>
                    <xdr:colOff>409575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8" r:id="rId95" name="Spinner 3348">
              <controlPr defaultSize="0" autoPict="0">
                <anchor moveWithCells="1" sizeWithCells="1">
                  <from>
                    <xdr:col>12</xdr:col>
                    <xdr:colOff>409575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9" r:id="rId96" name="Spinner 3349">
              <controlPr defaultSize="0" autoPict="0">
                <anchor moveWithCells="1" sizeWithCells="1">
                  <from>
                    <xdr:col>12</xdr:col>
                    <xdr:colOff>409575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0" r:id="rId97" name="Spinner 3350">
              <controlPr defaultSize="0" autoPict="0">
                <anchor moveWithCells="1" sizeWithCells="1">
                  <from>
                    <xdr:col>12</xdr:col>
                    <xdr:colOff>409575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1" r:id="rId98" name="Spinner 3351">
              <controlPr defaultSize="0" autoPict="0">
                <anchor moveWithCells="1" sizeWithCells="1">
                  <from>
                    <xdr:col>12</xdr:col>
                    <xdr:colOff>409575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2" r:id="rId99" name="Spinner 3352">
              <controlPr defaultSize="0" autoPict="0">
                <anchor moveWithCells="1" sizeWithCells="1">
                  <from>
                    <xdr:col>12</xdr:col>
                    <xdr:colOff>409575</xdr:colOff>
                    <xdr:row>11</xdr:row>
                    <xdr:rowOff>38100</xdr:rowOff>
                  </from>
                  <to>
                    <xdr:col>13</xdr:col>
                    <xdr:colOff>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3" r:id="rId100" name="Spinner 3353">
              <controlPr defaultSize="0" autoPict="0">
                <anchor moveWithCells="1" sizeWithCells="1">
                  <from>
                    <xdr:col>12</xdr:col>
                    <xdr:colOff>409575</xdr:colOff>
                    <xdr:row>12</xdr:row>
                    <xdr:rowOff>38100</xdr:rowOff>
                  </from>
                  <to>
                    <xdr:col>13</xdr:col>
                    <xdr:colOff>0</xdr:colOff>
                    <xdr:row>12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579A3-99A3-4587-AE14-C4B2B53B0626}">
  <dimension ref="A1:AF16"/>
  <sheetViews>
    <sheetView workbookViewId="0">
      <selection activeCell="O3" sqref="O3"/>
    </sheetView>
  </sheetViews>
  <sheetFormatPr defaultRowHeight="15" x14ac:dyDescent="0.25"/>
  <cols>
    <col min="1" max="1" width="9.14062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29</v>
      </c>
      <c r="H1" s="9" t="s">
        <v>30</v>
      </c>
      <c r="I1" s="9" t="s">
        <v>35</v>
      </c>
      <c r="J1" s="9" t="s">
        <v>36</v>
      </c>
      <c r="K1" s="9" t="s">
        <v>31</v>
      </c>
      <c r="L1" s="9" t="s">
        <v>32</v>
      </c>
      <c r="M1" s="9" t="s">
        <v>33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>
        <v>1</v>
      </c>
      <c r="B2" s="22" t="s">
        <v>5</v>
      </c>
      <c r="C2" s="10" t="s">
        <v>34</v>
      </c>
      <c r="D2" s="10" t="s">
        <v>34</v>
      </c>
      <c r="E2" s="10" t="s">
        <v>34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1660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34</v>
      </c>
      <c r="W2" s="25" t="s">
        <v>22</v>
      </c>
    </row>
    <row r="3" spans="1:32" ht="32.25" customHeight="1" thickBot="1" x14ac:dyDescent="0.3">
      <c r="A3" s="22">
        <v>2</v>
      </c>
      <c r="B3" s="22" t="s">
        <v>6</v>
      </c>
      <c r="C3" s="10" t="s">
        <v>34</v>
      </c>
      <c r="D3" s="10" t="s">
        <v>34</v>
      </c>
      <c r="E3" s="10" t="s">
        <v>34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29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>
        <v>3</v>
      </c>
      <c r="B4" s="22" t="s">
        <v>7</v>
      </c>
      <c r="C4" s="10" t="s">
        <v>34</v>
      </c>
      <c r="D4" s="10" t="s">
        <v>34</v>
      </c>
      <c r="E4" s="10" t="s">
        <v>34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30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>
        <v>4</v>
      </c>
      <c r="B5" s="22" t="s">
        <v>8</v>
      </c>
      <c r="C5" s="10" t="s">
        <v>34</v>
      </c>
      <c r="D5" s="10" t="s">
        <v>34</v>
      </c>
      <c r="E5" s="10" t="s">
        <v>34</v>
      </c>
      <c r="F5" s="12"/>
      <c r="G5" s="12">
        <v>2</v>
      </c>
      <c r="H5" s="12"/>
      <c r="I5" s="12"/>
      <c r="J5" s="12"/>
      <c r="K5" s="12"/>
      <c r="L5" s="12"/>
      <c r="M5" s="12"/>
      <c r="N5" s="13">
        <v>285</v>
      </c>
      <c r="R5" s="22" t="s">
        <v>35</v>
      </c>
      <c r="S5" s="22">
        <v>12</v>
      </c>
    </row>
    <row r="6" spans="1:32" ht="32.25" customHeight="1" x14ac:dyDescent="0.25">
      <c r="A6" s="22">
        <v>5</v>
      </c>
      <c r="B6" s="22" t="s">
        <v>9</v>
      </c>
      <c r="C6" s="10" t="s">
        <v>34</v>
      </c>
      <c r="D6" s="10" t="s">
        <v>34</v>
      </c>
      <c r="E6" s="10" t="s">
        <v>34</v>
      </c>
      <c r="F6" s="12"/>
      <c r="G6" s="12"/>
      <c r="H6" s="12"/>
      <c r="I6" s="12"/>
      <c r="J6" s="12"/>
      <c r="K6" s="12"/>
      <c r="L6" s="12"/>
      <c r="M6" s="12"/>
      <c r="N6" s="13">
        <v>125</v>
      </c>
      <c r="R6" s="22" t="s">
        <v>36</v>
      </c>
      <c r="S6" s="22">
        <v>25</v>
      </c>
    </row>
    <row r="7" spans="1:32" ht="32.25" customHeight="1" x14ac:dyDescent="0.25">
      <c r="A7" s="22">
        <v>6</v>
      </c>
      <c r="B7" s="22" t="s">
        <v>10</v>
      </c>
      <c r="C7" s="10" t="s">
        <v>34</v>
      </c>
      <c r="D7" s="10" t="s">
        <v>34</v>
      </c>
      <c r="E7" s="10" t="s">
        <v>34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31</v>
      </c>
      <c r="S7" s="22">
        <v>10</v>
      </c>
    </row>
    <row r="8" spans="1:32" ht="32.25" customHeight="1" x14ac:dyDescent="0.25">
      <c r="A8" s="22">
        <v>7</v>
      </c>
      <c r="B8" s="22" t="s">
        <v>21</v>
      </c>
      <c r="C8" s="10" t="s">
        <v>34</v>
      </c>
      <c r="D8" s="10" t="s">
        <v>34</v>
      </c>
      <c r="E8" s="10" t="s">
        <v>34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32</v>
      </c>
      <c r="S8" s="22">
        <v>15</v>
      </c>
    </row>
    <row r="9" spans="1:32" ht="32.25" customHeight="1" x14ac:dyDescent="0.25">
      <c r="A9" s="22">
        <v>8</v>
      </c>
      <c r="B9" s="22" t="s">
        <v>11</v>
      </c>
      <c r="C9" s="10" t="s">
        <v>34</v>
      </c>
      <c r="D9" s="10" t="s">
        <v>34</v>
      </c>
      <c r="E9" s="10" t="s">
        <v>34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33</v>
      </c>
      <c r="S9" s="22">
        <v>12</v>
      </c>
    </row>
    <row r="10" spans="1:32" ht="32.25" customHeight="1" x14ac:dyDescent="0.25">
      <c r="A10" s="22">
        <v>9</v>
      </c>
      <c r="B10" s="22" t="s">
        <v>12</v>
      </c>
      <c r="C10" s="10" t="s">
        <v>34</v>
      </c>
      <c r="D10" s="10" t="s">
        <v>34</v>
      </c>
      <c r="E10" s="10" t="s">
        <v>34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25">
      <c r="A11" s="22">
        <v>10</v>
      </c>
      <c r="B11" s="22" t="s">
        <v>13</v>
      </c>
      <c r="C11" s="10" t="s">
        <v>34</v>
      </c>
      <c r="D11" s="10" t="s">
        <v>34</v>
      </c>
      <c r="E11" s="10" t="s">
        <v>34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25">
      <c r="A12" s="22">
        <v>11</v>
      </c>
      <c r="B12" s="22" t="s">
        <v>27</v>
      </c>
      <c r="C12" s="10" t="s">
        <v>34</v>
      </c>
      <c r="D12" s="10" t="s">
        <v>34</v>
      </c>
      <c r="E12" s="10" t="s">
        <v>34</v>
      </c>
      <c r="F12" s="12"/>
      <c r="G12" s="12"/>
      <c r="H12" s="12"/>
      <c r="I12" s="12"/>
      <c r="J12" s="12"/>
      <c r="K12" s="12"/>
      <c r="L12" s="12"/>
      <c r="M12" s="12"/>
      <c r="N12" s="13">
        <v>125</v>
      </c>
    </row>
    <row r="13" spans="1:32" ht="32.25" customHeight="1" x14ac:dyDescent="0.25">
      <c r="A13" s="22">
        <v>12</v>
      </c>
      <c r="B13" s="22" t="s">
        <v>28</v>
      </c>
      <c r="C13" s="10" t="s">
        <v>34</v>
      </c>
      <c r="D13" s="10" t="s">
        <v>34</v>
      </c>
      <c r="E13" s="10" t="s">
        <v>34</v>
      </c>
      <c r="F13" s="12"/>
      <c r="G13" s="12"/>
      <c r="H13" s="12"/>
      <c r="I13" s="12"/>
      <c r="J13" s="12"/>
      <c r="K13" s="12"/>
      <c r="L13" s="12"/>
      <c r="M13" s="12"/>
      <c r="N13" s="13">
        <v>125</v>
      </c>
    </row>
    <row r="14" spans="1:32" ht="32.25" customHeight="1" x14ac:dyDescent="0.25">
      <c r="A14" s="22">
        <v>13</v>
      </c>
      <c r="B14" s="22" t="s">
        <v>37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>
        <v>14</v>
      </c>
      <c r="B15" s="22" t="s">
        <v>37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>
        <v>15</v>
      </c>
      <c r="B16" s="22" t="s">
        <v>37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conditionalFormatting sqref="C14:E16">
    <cfRule type="cellIs" dxfId="13" priority="2" operator="equal">
      <formula>$V$2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7620E-D2A1-4813-A695-EF3BA660A57D}">
  <dimension ref="A1:AF16"/>
  <sheetViews>
    <sheetView workbookViewId="0">
      <selection activeCell="O3" sqref="O3"/>
    </sheetView>
  </sheetViews>
  <sheetFormatPr defaultRowHeight="15" x14ac:dyDescent="0.25"/>
  <cols>
    <col min="1" max="1" width="9.14062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29</v>
      </c>
      <c r="H1" s="9" t="s">
        <v>30</v>
      </c>
      <c r="I1" s="9" t="s">
        <v>35</v>
      </c>
      <c r="J1" s="9" t="s">
        <v>36</v>
      </c>
      <c r="K1" s="9" t="s">
        <v>31</v>
      </c>
      <c r="L1" s="9" t="s">
        <v>32</v>
      </c>
      <c r="M1" s="9" t="s">
        <v>33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>
        <v>1</v>
      </c>
      <c r="B2" s="22" t="s">
        <v>5</v>
      </c>
      <c r="C2" s="10" t="s">
        <v>34</v>
      </c>
      <c r="D2" s="10" t="s">
        <v>34</v>
      </c>
      <c r="E2" s="10" t="s">
        <v>34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1500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34</v>
      </c>
      <c r="W2" s="25" t="s">
        <v>22</v>
      </c>
    </row>
    <row r="3" spans="1:32" ht="32.25" customHeight="1" thickBot="1" x14ac:dyDescent="0.3">
      <c r="A3" s="22">
        <v>2</v>
      </c>
      <c r="B3" s="22" t="s">
        <v>6</v>
      </c>
      <c r="C3" s="10" t="s">
        <v>34</v>
      </c>
      <c r="D3" s="10" t="s">
        <v>34</v>
      </c>
      <c r="E3" s="10" t="s">
        <v>34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29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>
        <v>3</v>
      </c>
      <c r="B4" s="22" t="s">
        <v>7</v>
      </c>
      <c r="C4" s="10" t="s">
        <v>34</v>
      </c>
      <c r="D4" s="10" t="s">
        <v>34</v>
      </c>
      <c r="E4" s="10" t="s">
        <v>34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30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>
        <v>4</v>
      </c>
      <c r="B5" s="22" t="s">
        <v>8</v>
      </c>
      <c r="C5" s="10" t="s">
        <v>34</v>
      </c>
      <c r="D5" s="10" t="s">
        <v>34</v>
      </c>
      <c r="E5" s="10" t="s">
        <v>34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35</v>
      </c>
      <c r="S5" s="22">
        <v>12</v>
      </c>
    </row>
    <row r="6" spans="1:32" ht="32.25" customHeight="1" x14ac:dyDescent="0.25">
      <c r="A6" s="22">
        <v>5</v>
      </c>
      <c r="B6" s="22" t="s">
        <v>9</v>
      </c>
      <c r="C6" s="10" t="s">
        <v>34</v>
      </c>
      <c r="D6" s="10" t="s">
        <v>34</v>
      </c>
      <c r="E6" s="10" t="s">
        <v>34</v>
      </c>
      <c r="F6" s="12"/>
      <c r="G6" s="12"/>
      <c r="H6" s="12"/>
      <c r="I6" s="12"/>
      <c r="J6" s="12"/>
      <c r="K6" s="12"/>
      <c r="L6" s="12"/>
      <c r="M6" s="12"/>
      <c r="N6" s="13">
        <v>125</v>
      </c>
      <c r="R6" s="22" t="s">
        <v>36</v>
      </c>
      <c r="S6" s="22">
        <v>25</v>
      </c>
    </row>
    <row r="7" spans="1:32" ht="32.25" customHeight="1" x14ac:dyDescent="0.25">
      <c r="A7" s="22">
        <v>6</v>
      </c>
      <c r="B7" s="22" t="s">
        <v>10</v>
      </c>
      <c r="C7" s="10" t="s">
        <v>34</v>
      </c>
      <c r="D7" s="10" t="s">
        <v>34</v>
      </c>
      <c r="E7" s="10" t="s">
        <v>34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31</v>
      </c>
      <c r="S7" s="22">
        <v>10</v>
      </c>
    </row>
    <row r="8" spans="1:32" ht="32.25" customHeight="1" x14ac:dyDescent="0.25">
      <c r="A8" s="22">
        <v>7</v>
      </c>
      <c r="B8" s="22" t="s">
        <v>21</v>
      </c>
      <c r="C8" s="10" t="s">
        <v>34</v>
      </c>
      <c r="D8" s="10" t="s">
        <v>34</v>
      </c>
      <c r="E8" s="10" t="s">
        <v>34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32</v>
      </c>
      <c r="S8" s="22">
        <v>15</v>
      </c>
    </row>
    <row r="9" spans="1:32" ht="32.25" customHeight="1" x14ac:dyDescent="0.25">
      <c r="A9" s="22">
        <v>8</v>
      </c>
      <c r="B9" s="22" t="s">
        <v>11</v>
      </c>
      <c r="C9" s="10" t="s">
        <v>34</v>
      </c>
      <c r="D9" s="10" t="s">
        <v>34</v>
      </c>
      <c r="E9" s="10" t="s">
        <v>34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33</v>
      </c>
      <c r="S9" s="22">
        <v>12</v>
      </c>
    </row>
    <row r="10" spans="1:32" ht="32.25" customHeight="1" x14ac:dyDescent="0.25">
      <c r="A10" s="22">
        <v>9</v>
      </c>
      <c r="B10" s="22" t="s">
        <v>12</v>
      </c>
      <c r="C10" s="10" t="s">
        <v>34</v>
      </c>
      <c r="D10" s="10" t="s">
        <v>34</v>
      </c>
      <c r="E10" s="10" t="s">
        <v>34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25">
      <c r="A11" s="22">
        <v>10</v>
      </c>
      <c r="B11" s="22" t="s">
        <v>13</v>
      </c>
      <c r="C11" s="10" t="s">
        <v>34</v>
      </c>
      <c r="D11" s="10" t="s">
        <v>34</v>
      </c>
      <c r="E11" s="10" t="s">
        <v>34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25">
      <c r="A12" s="22">
        <v>11</v>
      </c>
      <c r="B12" s="22" t="s">
        <v>27</v>
      </c>
      <c r="C12" s="10" t="s">
        <v>34</v>
      </c>
      <c r="D12" s="10" t="s">
        <v>34</v>
      </c>
      <c r="E12" s="10" t="s">
        <v>34</v>
      </c>
      <c r="F12" s="12"/>
      <c r="G12" s="12"/>
      <c r="H12" s="12"/>
      <c r="I12" s="12"/>
      <c r="J12" s="12"/>
      <c r="K12" s="12"/>
      <c r="L12" s="12"/>
      <c r="M12" s="12"/>
      <c r="N12" s="13">
        <v>125</v>
      </c>
    </row>
    <row r="13" spans="1:32" ht="32.25" customHeight="1" x14ac:dyDescent="0.25">
      <c r="A13" s="22">
        <v>12</v>
      </c>
      <c r="B13" s="22" t="s">
        <v>28</v>
      </c>
      <c r="C13" s="10" t="s">
        <v>34</v>
      </c>
      <c r="D13" s="10" t="s">
        <v>34</v>
      </c>
      <c r="E13" s="10" t="s">
        <v>34</v>
      </c>
      <c r="F13" s="12"/>
      <c r="G13" s="12"/>
      <c r="H13" s="12"/>
      <c r="I13" s="12"/>
      <c r="J13" s="12"/>
      <c r="K13" s="12"/>
      <c r="L13" s="12"/>
      <c r="M13" s="12"/>
      <c r="N13" s="13">
        <v>125</v>
      </c>
    </row>
    <row r="14" spans="1:32" ht="32.25" customHeight="1" x14ac:dyDescent="0.25">
      <c r="A14" s="22">
        <v>13</v>
      </c>
      <c r="B14" s="22" t="s">
        <v>37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>
        <v>14</v>
      </c>
      <c r="B15" s="22" t="s">
        <v>37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>
        <v>15</v>
      </c>
      <c r="B16" s="22" t="s">
        <v>37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conditionalFormatting sqref="C14:E16">
    <cfRule type="cellIs" dxfId="3" priority="2" operator="equal">
      <formula>$V$2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04E2B-21BE-435F-B684-2FD19458BA1A}">
  <dimension ref="A1:AF16"/>
  <sheetViews>
    <sheetView workbookViewId="0">
      <selection activeCell="O3" sqref="O3"/>
    </sheetView>
  </sheetViews>
  <sheetFormatPr defaultRowHeight="15" x14ac:dyDescent="0.25"/>
  <cols>
    <col min="1" max="1" width="9.14062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29</v>
      </c>
      <c r="H1" s="9" t="s">
        <v>30</v>
      </c>
      <c r="I1" s="9" t="s">
        <v>35</v>
      </c>
      <c r="J1" s="9" t="s">
        <v>36</v>
      </c>
      <c r="K1" s="9" t="s">
        <v>31</v>
      </c>
      <c r="L1" s="9" t="s">
        <v>32</v>
      </c>
      <c r="M1" s="9" t="s">
        <v>33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>
        <v>1</v>
      </c>
      <c r="B2" s="22" t="s">
        <v>5</v>
      </c>
      <c r="C2" s="10" t="s">
        <v>34</v>
      </c>
      <c r="D2" s="10" t="s">
        <v>34</v>
      </c>
      <c r="E2" s="10" t="s">
        <v>34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1500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34</v>
      </c>
      <c r="W2" s="25" t="s">
        <v>22</v>
      </c>
    </row>
    <row r="3" spans="1:32" ht="32.25" customHeight="1" thickBot="1" x14ac:dyDescent="0.3">
      <c r="A3" s="22">
        <v>2</v>
      </c>
      <c r="B3" s="22" t="s">
        <v>6</v>
      </c>
      <c r="C3" s="10" t="s">
        <v>34</v>
      </c>
      <c r="D3" s="10" t="s">
        <v>34</v>
      </c>
      <c r="E3" s="10" t="s">
        <v>34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29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>
        <v>3</v>
      </c>
      <c r="B4" s="22" t="s">
        <v>7</v>
      </c>
      <c r="C4" s="10" t="s">
        <v>34</v>
      </c>
      <c r="D4" s="10" t="s">
        <v>34</v>
      </c>
      <c r="E4" s="10" t="s">
        <v>34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30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>
        <v>4</v>
      </c>
      <c r="B5" s="22" t="s">
        <v>8</v>
      </c>
      <c r="C5" s="10" t="s">
        <v>34</v>
      </c>
      <c r="D5" s="10" t="s">
        <v>34</v>
      </c>
      <c r="E5" s="10" t="s">
        <v>34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35</v>
      </c>
      <c r="S5" s="22">
        <v>12</v>
      </c>
    </row>
    <row r="6" spans="1:32" ht="32.25" customHeight="1" x14ac:dyDescent="0.25">
      <c r="A6" s="22">
        <v>5</v>
      </c>
      <c r="B6" s="22" t="s">
        <v>9</v>
      </c>
      <c r="C6" s="10" t="s">
        <v>34</v>
      </c>
      <c r="D6" s="10" t="s">
        <v>34</v>
      </c>
      <c r="E6" s="10" t="s">
        <v>34</v>
      </c>
      <c r="F6" s="12"/>
      <c r="G6" s="12"/>
      <c r="H6" s="12"/>
      <c r="I6" s="12"/>
      <c r="J6" s="12"/>
      <c r="K6" s="12"/>
      <c r="L6" s="12"/>
      <c r="M6" s="12"/>
      <c r="N6" s="13">
        <v>125</v>
      </c>
      <c r="R6" s="22" t="s">
        <v>36</v>
      </c>
      <c r="S6" s="22">
        <v>25</v>
      </c>
    </row>
    <row r="7" spans="1:32" ht="32.25" customHeight="1" x14ac:dyDescent="0.25">
      <c r="A7" s="22">
        <v>6</v>
      </c>
      <c r="B7" s="22" t="s">
        <v>10</v>
      </c>
      <c r="C7" s="10" t="s">
        <v>34</v>
      </c>
      <c r="D7" s="10" t="s">
        <v>34</v>
      </c>
      <c r="E7" s="10" t="s">
        <v>34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31</v>
      </c>
      <c r="S7" s="22">
        <v>10</v>
      </c>
    </row>
    <row r="8" spans="1:32" ht="32.25" customHeight="1" x14ac:dyDescent="0.25">
      <c r="A8" s="22">
        <v>7</v>
      </c>
      <c r="B8" s="22" t="s">
        <v>21</v>
      </c>
      <c r="C8" s="10" t="s">
        <v>34</v>
      </c>
      <c r="D8" s="10" t="s">
        <v>34</v>
      </c>
      <c r="E8" s="10" t="s">
        <v>34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32</v>
      </c>
      <c r="S8" s="22">
        <v>15</v>
      </c>
    </row>
    <row r="9" spans="1:32" ht="32.25" customHeight="1" x14ac:dyDescent="0.25">
      <c r="A9" s="22">
        <v>8</v>
      </c>
      <c r="B9" s="22" t="s">
        <v>11</v>
      </c>
      <c r="C9" s="10" t="s">
        <v>34</v>
      </c>
      <c r="D9" s="10" t="s">
        <v>34</v>
      </c>
      <c r="E9" s="10" t="s">
        <v>34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33</v>
      </c>
      <c r="S9" s="22">
        <v>12</v>
      </c>
    </row>
    <row r="10" spans="1:32" ht="32.25" customHeight="1" x14ac:dyDescent="0.25">
      <c r="A10" s="22">
        <v>9</v>
      </c>
      <c r="B10" s="22" t="s">
        <v>12</v>
      </c>
      <c r="C10" s="10" t="s">
        <v>34</v>
      </c>
      <c r="D10" s="10" t="s">
        <v>34</v>
      </c>
      <c r="E10" s="10" t="s">
        <v>34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25">
      <c r="A11" s="22">
        <v>10</v>
      </c>
      <c r="B11" s="22" t="s">
        <v>13</v>
      </c>
      <c r="C11" s="10" t="s">
        <v>34</v>
      </c>
      <c r="D11" s="10" t="s">
        <v>34</v>
      </c>
      <c r="E11" s="10" t="s">
        <v>34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25">
      <c r="A12" s="22">
        <v>11</v>
      </c>
      <c r="B12" s="22" t="s">
        <v>27</v>
      </c>
      <c r="C12" s="10" t="s">
        <v>34</v>
      </c>
      <c r="D12" s="10" t="s">
        <v>34</v>
      </c>
      <c r="E12" s="10" t="s">
        <v>34</v>
      </c>
      <c r="F12" s="12"/>
      <c r="G12" s="12"/>
      <c r="H12" s="12"/>
      <c r="I12" s="12"/>
      <c r="J12" s="12"/>
      <c r="K12" s="12"/>
      <c r="L12" s="12"/>
      <c r="M12" s="12"/>
      <c r="N12" s="13">
        <v>125</v>
      </c>
    </row>
    <row r="13" spans="1:32" ht="32.25" customHeight="1" x14ac:dyDescent="0.25">
      <c r="A13" s="22">
        <v>12</v>
      </c>
      <c r="B13" s="22" t="s">
        <v>28</v>
      </c>
      <c r="C13" s="10" t="s">
        <v>34</v>
      </c>
      <c r="D13" s="10" t="s">
        <v>34</v>
      </c>
      <c r="E13" s="10" t="s">
        <v>34</v>
      </c>
      <c r="F13" s="12"/>
      <c r="G13" s="12"/>
      <c r="H13" s="12"/>
      <c r="I13" s="12"/>
      <c r="J13" s="12"/>
      <c r="K13" s="12"/>
      <c r="L13" s="12"/>
      <c r="M13" s="12"/>
      <c r="N13" s="13">
        <v>125</v>
      </c>
    </row>
    <row r="14" spans="1:32" ht="32.25" customHeight="1" x14ac:dyDescent="0.25">
      <c r="A14" s="22">
        <v>13</v>
      </c>
      <c r="B14" s="22" t="s">
        <v>37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>
        <v>14</v>
      </c>
      <c r="B15" s="22" t="s">
        <v>37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>
        <v>15</v>
      </c>
      <c r="B16" s="22" t="s">
        <v>37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conditionalFormatting sqref="C14:E16">
    <cfRule type="cellIs" dxfId="2" priority="2" operator="equal">
      <formula>$V$2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4E324-48D6-49E7-AD10-38DDB6207989}">
  <sheetPr codeName="Sheet3"/>
  <dimension ref="A1:AF16"/>
  <sheetViews>
    <sheetView workbookViewId="0">
      <selection activeCell="O3" sqref="O3"/>
    </sheetView>
  </sheetViews>
  <sheetFormatPr defaultRowHeight="15" x14ac:dyDescent="0.25"/>
  <cols>
    <col min="1" max="1" width="9.14062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29</v>
      </c>
      <c r="H1" s="9" t="s">
        <v>30</v>
      </c>
      <c r="I1" s="9" t="s">
        <v>35</v>
      </c>
      <c r="J1" s="9" t="s">
        <v>36</v>
      </c>
      <c r="K1" s="9" t="s">
        <v>31</v>
      </c>
      <c r="L1" s="9" t="s">
        <v>32</v>
      </c>
      <c r="M1" s="9" t="s">
        <v>33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>
        <v>1</v>
      </c>
      <c r="B2" s="22" t="s">
        <v>5</v>
      </c>
      <c r="C2" s="10" t="s">
        <v>34</v>
      </c>
      <c r="D2" s="10" t="s">
        <v>34</v>
      </c>
      <c r="E2" s="10" t="s">
        <v>34</v>
      </c>
      <c r="F2" s="12"/>
      <c r="G2" s="12"/>
      <c r="H2" s="12"/>
      <c r="I2" s="12"/>
      <c r="J2" s="12"/>
      <c r="K2" s="12"/>
      <c r="L2" s="12"/>
      <c r="M2" s="12">
        <v>1</v>
      </c>
      <c r="N2" s="13">
        <v>137</v>
      </c>
      <c r="O2" s="14">
        <v>1582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34</v>
      </c>
      <c r="W2" s="25" t="s">
        <v>22</v>
      </c>
    </row>
    <row r="3" spans="1:32" ht="32.25" customHeight="1" thickBot="1" x14ac:dyDescent="0.3">
      <c r="A3" s="22">
        <v>2</v>
      </c>
      <c r="B3" s="22" t="s">
        <v>6</v>
      </c>
      <c r="C3" s="10" t="s">
        <v>34</v>
      </c>
      <c r="D3" s="10" t="s">
        <v>34</v>
      </c>
      <c r="E3" s="10" t="s">
        <v>34</v>
      </c>
      <c r="F3" s="12"/>
      <c r="G3" s="12"/>
      <c r="H3" s="12"/>
      <c r="I3" s="12"/>
      <c r="J3" s="12"/>
      <c r="K3" s="12"/>
      <c r="L3" s="12"/>
      <c r="M3" s="12">
        <v>10</v>
      </c>
      <c r="N3" s="13">
        <v>245</v>
      </c>
      <c r="R3" s="22" t="s">
        <v>29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>
        <v>3</v>
      </c>
      <c r="B4" s="22" t="s">
        <v>7</v>
      </c>
      <c r="C4" s="10" t="s">
        <v>34</v>
      </c>
      <c r="D4" s="10" t="s">
        <v>34</v>
      </c>
      <c r="E4" s="10" t="s">
        <v>34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30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>
        <v>4</v>
      </c>
      <c r="B5" s="22" t="s">
        <v>8</v>
      </c>
      <c r="C5" s="10" t="s">
        <v>34</v>
      </c>
      <c r="D5" s="10" t="s">
        <v>34</v>
      </c>
      <c r="E5" s="10"/>
      <c r="F5" s="12"/>
      <c r="G5" s="12"/>
      <c r="H5" s="12"/>
      <c r="I5" s="12"/>
      <c r="J5" s="12"/>
      <c r="K5" s="12"/>
      <c r="L5" s="12"/>
      <c r="M5" s="12"/>
      <c r="N5" s="13">
        <v>75</v>
      </c>
      <c r="R5" s="22" t="s">
        <v>35</v>
      </c>
      <c r="S5" s="22">
        <v>12</v>
      </c>
    </row>
    <row r="6" spans="1:32" ht="32.25" customHeight="1" x14ac:dyDescent="0.25">
      <c r="A6" s="22">
        <v>5</v>
      </c>
      <c r="B6" s="22" t="s">
        <v>9</v>
      </c>
      <c r="C6" s="10" t="s">
        <v>34</v>
      </c>
      <c r="D6" s="10" t="s">
        <v>34</v>
      </c>
      <c r="E6" s="10" t="s">
        <v>34</v>
      </c>
      <c r="F6" s="12"/>
      <c r="G6" s="12"/>
      <c r="H6" s="12"/>
      <c r="I6" s="12"/>
      <c r="J6" s="12"/>
      <c r="K6" s="12"/>
      <c r="L6" s="12"/>
      <c r="M6" s="12"/>
      <c r="N6" s="13">
        <v>125</v>
      </c>
      <c r="R6" s="22" t="s">
        <v>36</v>
      </c>
      <c r="S6" s="22">
        <v>25</v>
      </c>
    </row>
    <row r="7" spans="1:32" ht="32.25" customHeight="1" x14ac:dyDescent="0.25">
      <c r="A7" s="22">
        <v>6</v>
      </c>
      <c r="B7" s="22" t="s">
        <v>10</v>
      </c>
      <c r="C7" s="10" t="s">
        <v>34</v>
      </c>
      <c r="D7" s="10" t="s">
        <v>34</v>
      </c>
      <c r="E7" s="10" t="s">
        <v>34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31</v>
      </c>
      <c r="S7" s="22">
        <v>10</v>
      </c>
    </row>
    <row r="8" spans="1:32" ht="32.25" customHeight="1" x14ac:dyDescent="0.25">
      <c r="A8" s="22">
        <v>7</v>
      </c>
      <c r="B8" s="22" t="s">
        <v>21</v>
      </c>
      <c r="C8" s="10" t="s">
        <v>34</v>
      </c>
      <c r="D8" s="10" t="s">
        <v>34</v>
      </c>
      <c r="E8" s="10" t="s">
        <v>34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32</v>
      </c>
      <c r="S8" s="22">
        <v>15</v>
      </c>
    </row>
    <row r="9" spans="1:32" ht="32.25" customHeight="1" x14ac:dyDescent="0.25">
      <c r="A9" s="22">
        <v>8</v>
      </c>
      <c r="B9" s="22" t="s">
        <v>11</v>
      </c>
      <c r="C9" s="10" t="s">
        <v>34</v>
      </c>
      <c r="D9" s="10" t="s">
        <v>34</v>
      </c>
      <c r="E9" s="10" t="s">
        <v>34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33</v>
      </c>
      <c r="S9" s="22">
        <v>12</v>
      </c>
    </row>
    <row r="10" spans="1:32" ht="32.25" customHeight="1" x14ac:dyDescent="0.25">
      <c r="A10" s="22">
        <v>9</v>
      </c>
      <c r="B10" s="22" t="s">
        <v>12</v>
      </c>
      <c r="C10" s="10" t="s">
        <v>34</v>
      </c>
      <c r="D10" s="10" t="s">
        <v>34</v>
      </c>
      <c r="E10" s="10" t="s">
        <v>34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25">
      <c r="A11" s="22">
        <v>10</v>
      </c>
      <c r="B11" s="22" t="s">
        <v>13</v>
      </c>
      <c r="C11" s="10" t="s">
        <v>34</v>
      </c>
      <c r="D11" s="10" t="s">
        <v>34</v>
      </c>
      <c r="E11" s="10" t="s">
        <v>34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25">
      <c r="A12" s="22">
        <v>11</v>
      </c>
      <c r="B12" s="22" t="s">
        <v>27</v>
      </c>
      <c r="C12" s="10" t="s">
        <v>34</v>
      </c>
      <c r="D12" s="10" t="s">
        <v>34</v>
      </c>
      <c r="E12" s="10" t="s">
        <v>34</v>
      </c>
      <c r="F12" s="12"/>
      <c r="G12" s="12"/>
      <c r="H12" s="12"/>
      <c r="I12" s="12"/>
      <c r="J12" s="12"/>
      <c r="K12" s="12"/>
      <c r="L12" s="12"/>
      <c r="M12" s="12"/>
      <c r="N12" s="13">
        <v>125</v>
      </c>
    </row>
    <row r="13" spans="1:32" ht="32.25" customHeight="1" x14ac:dyDescent="0.25">
      <c r="A13" s="22">
        <v>12</v>
      </c>
      <c r="B13" s="22" t="s">
        <v>28</v>
      </c>
      <c r="C13" s="10" t="s">
        <v>34</v>
      </c>
      <c r="D13" s="10" t="s">
        <v>34</v>
      </c>
      <c r="E13" s="10" t="s">
        <v>34</v>
      </c>
      <c r="F13" s="12"/>
      <c r="G13" s="12"/>
      <c r="H13" s="12"/>
      <c r="I13" s="12"/>
      <c r="J13" s="12"/>
      <c r="K13" s="12"/>
      <c r="L13" s="12"/>
      <c r="M13" s="12"/>
      <c r="N13" s="13">
        <v>125</v>
      </c>
    </row>
    <row r="14" spans="1:32" ht="32.25" customHeight="1" x14ac:dyDescent="0.25">
      <c r="A14" s="22">
        <v>13</v>
      </c>
      <c r="B14" s="22" t="s">
        <v>37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>
        <v>14</v>
      </c>
      <c r="B15" s="22" t="s">
        <v>37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>
        <v>15</v>
      </c>
      <c r="B16" s="22" t="s">
        <v>37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conditionalFormatting sqref="C14:E16">
    <cfRule type="cellIs" dxfId="1" priority="2" operator="equal">
      <formula>$V$2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Boarder-List</vt:lpstr>
      <vt:lpstr>BoarderDateWise-Sales</vt:lpstr>
      <vt:lpstr>Boarder-Sales</vt:lpstr>
      <vt:lpstr>Today_05-01-25</vt:lpstr>
      <vt:lpstr>04-01-25</vt:lpstr>
      <vt:lpstr>03-01-25</vt:lpstr>
      <vt:lpstr>02-01-25</vt:lpstr>
      <vt:lpstr>01-01-25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SURJA SANYAL</cp:lastModifiedBy>
  <cp:lastPrinted>2025-01-29T15:03:15Z</cp:lastPrinted>
  <dcterms:created xsi:type="dcterms:W3CDTF">2015-06-05T18:17:20Z</dcterms:created>
  <dcterms:modified xsi:type="dcterms:W3CDTF">2025-01-30T14:18:02Z</dcterms:modified>
</cp:coreProperties>
</file>