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vic\Downloads\"/>
    </mc:Choice>
  </mc:AlternateContent>
  <bookViews>
    <workbookView xWindow="0" yWindow="0" windowWidth="28800" windowHeight="11595" tabRatio="758" activeTab="7"/>
  </bookViews>
  <sheets>
    <sheet name="Room_7_Bill_26-02-25" sheetId="139" r:id="rId1"/>
    <sheet name="Boarder-List" sheetId="2" r:id="rId2"/>
    <sheet name="BoarderDateWise-Sales" sheetId="17" r:id="rId3"/>
    <sheet name="Boarder-Sales" sheetId="16" r:id="rId4"/>
    <sheet name="Mess-Offs" sheetId="21" r:id="rId5"/>
    <sheet name="Recurring-Leaves" sheetId="26" r:id="rId6"/>
    <sheet name="Leave-Register" sheetId="20" r:id="rId7"/>
    <sheet name="Today_26-02-25" sheetId="1" r:id="rId8"/>
    <sheet name="24-02-25" sheetId="133" r:id="rId9"/>
    <sheet name="25-02-25" sheetId="131" r:id="rId10"/>
    <sheet name="03-02-25" sheetId="27" r:id="rId11"/>
    <sheet name="02-03-25" sheetId="25" r:id="rId12"/>
    <sheet name="01-02-25" sheetId="24" r:id="rId1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26" l="1"/>
  <c r="B18" i="26"/>
  <c r="B17" i="26"/>
  <c r="B16" i="26"/>
  <c r="B15" i="26"/>
  <c r="B14" i="26"/>
  <c r="B13" i="26"/>
  <c r="B12" i="26"/>
  <c r="B11" i="26"/>
  <c r="B10" i="26"/>
  <c r="B9" i="26"/>
  <c r="B8" i="26"/>
  <c r="B7" i="26"/>
  <c r="B6" i="26"/>
  <c r="B5" i="26"/>
  <c r="B4" i="26"/>
  <c r="B3" i="26"/>
  <c r="B2" i="26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N10" i="1" a="1"/>
  <c r="N8" i="1" a="1"/>
  <c r="N5" i="1" a="1"/>
  <c r="N6" i="1" a="1"/>
  <c r="N7" i="1" a="1"/>
  <c r="N9" i="1" a="1"/>
  <c r="N9" i="1" l="1"/>
  <c r="N8" i="1"/>
  <c r="N7" i="1"/>
  <c r="N6" i="1"/>
  <c r="N10" i="1"/>
  <c r="N5" i="1"/>
  <c r="B4" i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N4" i="1" a="1"/>
  <c r="N11" i="1" a="1"/>
  <c r="N2" i="1" a="1"/>
  <c r="N3" i="1" a="1"/>
  <c r="N3" i="1" l="1"/>
  <c r="N11" i="1"/>
  <c r="N4" i="1"/>
  <c r="N2" i="1"/>
  <c r="B12" i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D3" i="17" l="1"/>
  <c r="D10" i="17"/>
  <c r="D11" i="17"/>
  <c r="D5" i="17"/>
  <c r="D4" i="17"/>
  <c r="D7" i="17"/>
  <c r="D9" i="17"/>
  <c r="D6" i="17"/>
  <c r="D8" i="17"/>
  <c r="C10" i="17"/>
  <c r="C9" i="17"/>
  <c r="C5" i="17"/>
  <c r="C3" i="17"/>
  <c r="C4" i="17"/>
  <c r="C8" i="17"/>
  <c r="C6" i="17"/>
  <c r="C11" i="17"/>
  <c r="C7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<sst xmlns="http://schemas.openxmlformats.org/spreadsheetml/2006/main" count="608" uniqueCount="74">
  <si>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</si>
  <si>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</si>
  <si>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</si>
  <si>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</si>
  <si>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</si>
  <si>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</si>
  <si>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</si>
  <si>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</si>
  <si>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</si>
  <si>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</si>
  <si>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</si>
  <si>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</si>
  <si>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</si>
  <si>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</si>
  <si>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</si>
  <si>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</si>
  <si>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</si>
  <si>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</si>
  <si>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</si>
  <si>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</si>
  <si>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</si>
  <si>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</si>
  <si>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</si>
  <si>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</si>
  <si>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</si>
  <si>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</si>
  <si>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</si>
  <si>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</si>
  <si>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</si>
  <si>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</si>
  <si>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</si>
  <si>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</si>
  <si>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</si>
  <si>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</si>
  <si>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</si>
  <si>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</si>
  <si>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</si>
  <si>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</si>
  <si>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</si>
  <si>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</si>
  <si>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</si>
  <si>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</si>
  <si>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</si>
  <si>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</si>
  <si>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</si>
  <si>
    <t>Monday</t>
  </si>
  <si>
    <t>Tuesday</t>
  </si>
  <si>
    <t>Wednesday</t>
  </si>
  <si>
    <t>Thursday</t>
  </si>
  <si>
    <t>Friday</t>
  </si>
  <si>
    <t>Saturday</t>
  </si>
  <si>
    <t>Sunday</t>
  </si>
  <si>
    <t>Name (Do Not Edit)</t>
  </si>
  <si>
    <t>Room# (Enter Here)</t>
  </si>
  <si>
    <t>VB Day</t>
  </si>
  <si>
    <t>Bills</t>
  </si>
  <si>
    <t>Boarder Room: 7</t>
  </si>
  <si>
    <t>Boarder Name: Surja Sanyal</t>
  </si>
  <si>
    <t>25-02-25</t>
  </si>
  <si>
    <t>Breakfast - Rs. 25</t>
  </si>
  <si>
    <t>NA - Rs. 0</t>
  </si>
  <si>
    <t>Lunch - Rs. 50</t>
  </si>
  <si>
    <t>Dinner - Rs. 50</t>
  </si>
  <si>
    <t>Meal Date</t>
  </si>
  <si>
    <t>03-02-25</t>
  </si>
  <si>
    <t>01-02-25</t>
  </si>
  <si>
    <t>Extra Item</t>
  </si>
  <si>
    <t>Paneer - Rs. 50</t>
  </si>
  <si>
    <t>Billing Date: 26-02-25</t>
  </si>
  <si>
    <t>26-02-25</t>
  </si>
  <si>
    <t>Fish - Rs. 80</t>
  </si>
  <si>
    <t>Egg x 2 - Rs. 25</t>
  </si>
  <si>
    <t>24-02-25</t>
  </si>
  <si>
    <t>02-03-25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</si>
</sst>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0" fillId="0" borderId="0" xfId="0" applyNumberFormat="1" applyBorder="1"/>
    <xf numFmtId="0" fontId="1" fillId="2" borderId="11" xfId="0" applyFont="1" applyFill="1" applyBorder="1" applyAlignment="1">
      <alignment vertical="center" wrapText="1"/>
    </xf>
    <xf numFmtId="0" fontId="6" fillId="2" borderId="1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0" fillId="0" borderId="1" xfId="0" quotePrefix="1" applyBorder="1"/>
    <xf numFmtId="0" fontId="0" fillId="0" borderId="13" xfId="0" applyBorder="1"/>
    <xf numFmtId="0" fontId="0" fillId="0" borderId="14" xfId="0" applyBorder="1"/>
    <xf numFmtId="0" fontId="1" fillId="0" borderId="2" xfId="0" applyFont="1" applyBorder="1"/>
  </cellXfs>
  <cellStyles count="1">
    <cellStyle name="Normal" xfId="0" builtinId="0"/>
  </cellStyles>
  <dxfs count="16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2" fmlaLink="$F$2" max="100" page="10" val="0"/>
</file>

<file path=xl/ctrlProps/ctrlProp18.xml><?xml version="1.0" encoding="utf-8"?>
<formControlPr xmlns="http://schemas.microsoft.com/office/spreadsheetml/2009/9/main" objectType="Spin" dx="22" fmlaLink="$F$3" max="100" page="10" val="0"/>
</file>

<file path=xl/ctrlProps/ctrlProp19.xml><?xml version="1.0" encoding="utf-8"?>
<formControlPr xmlns="http://schemas.microsoft.com/office/spreadsheetml/2009/9/main" objectType="Spin" dx="22" fmlaLink="$F$4" max="100" page="10" val="0"/>
</file>

<file path=xl/ctrlProps/ctrlProp20.xml><?xml version="1.0" encoding="utf-8"?>
<formControlPr xmlns="http://schemas.microsoft.com/office/spreadsheetml/2009/9/main" objectType="Spin" dx="22" fmlaLink="$F$5" max="100" page="10" val="0"/>
</file>

<file path=xl/ctrlProps/ctrlProp21.xml><?xml version="1.0" encoding="utf-8"?>
<formControlPr xmlns="http://schemas.microsoft.com/office/spreadsheetml/2009/9/main" objectType="Spin" dx="22" fmlaLink="$F$6" max="100" page="10" val="0"/>
</file>

<file path=xl/ctrlProps/ctrlProp22.xml><?xml version="1.0" encoding="utf-8"?>
<formControlPr xmlns="http://schemas.microsoft.com/office/spreadsheetml/2009/9/main" objectType="Spin" dx="22" fmlaLink="$F$7" max="100" page="10" val="0"/>
</file>

<file path=xl/ctrlProps/ctrlProp23.xml><?xml version="1.0" encoding="utf-8"?>
<formControlPr xmlns="http://schemas.microsoft.com/office/spreadsheetml/2009/9/main" objectType="Spin" dx="22" fmlaLink="$F$8" max="100" page="10" val="0"/>
</file>

<file path=xl/ctrlProps/ctrlProp24.xml><?xml version="1.0" encoding="utf-8"?>
<formControlPr xmlns="http://schemas.microsoft.com/office/spreadsheetml/2009/9/main" objectType="Spin" dx="22" fmlaLink="$F$9" max="100" page="10" val="0"/>
</file>

<file path=xl/ctrlProps/ctrlProp25.xml><?xml version="1.0" encoding="utf-8"?>
<formControlPr xmlns="http://schemas.microsoft.com/office/spreadsheetml/2009/9/main" objectType="Spin" dx="22" fmlaLink="$F$10" max="100" page="10" val="0"/>
</file>

<file path=xl/ctrlProps/ctrlProp26.xml><?xml version="1.0" encoding="utf-8"?>
<formControlPr xmlns="http://schemas.microsoft.com/office/spreadsheetml/2009/9/main" objectType="Spin" dx="22" fmlaLink="$F$11" max="100" page="10" val="0"/>
</file>

<file path=xl/ctrlProps/ctrlProp27.xml><?xml version="1.0" encoding="utf-8"?>
<formControlPr xmlns="http://schemas.microsoft.com/office/spreadsheetml/2009/9/main" objectType="Spin" dx="22" fmlaLink="$G$2" max="100" page="10" val="0"/>
</file>

<file path=xl/ctrlProps/ctrlProp28.xml><?xml version="1.0" encoding="utf-8"?>
<formControlPr xmlns="http://schemas.microsoft.com/office/spreadsheetml/2009/9/main" objectType="Spin" dx="22" fmlaLink="$G$3" max="100" page="10" val="0"/>
</file>

<file path=xl/ctrlProps/ctrlProp29.xml><?xml version="1.0" encoding="utf-8"?>
<formControlPr xmlns="http://schemas.microsoft.com/office/spreadsheetml/2009/9/main" objectType="Spin" dx="22" fmlaLink="$G$4" max="100" page="10" val="0"/>
</file>

<file path=xl/ctrlProps/ctrlProp30.xml><?xml version="1.0" encoding="utf-8"?>
<formControlPr xmlns="http://schemas.microsoft.com/office/spreadsheetml/2009/9/main" objectType="Spin" dx="22" fmlaLink="$G$5" max="100" page="10" val="0"/>
</file>

<file path=xl/ctrlProps/ctrlProp31.xml><?xml version="1.0" encoding="utf-8"?>
<formControlPr xmlns="http://schemas.microsoft.com/office/spreadsheetml/2009/9/main" objectType="Spin" dx="22" fmlaLink="$G$6" max="100" page="10" val="0"/>
</file>

<file path=xl/ctrlProps/ctrlProp32.xml><?xml version="1.0" encoding="utf-8"?>
<formControlPr xmlns="http://schemas.microsoft.com/office/spreadsheetml/2009/9/main" objectType="Spin" dx="22" fmlaLink="$G$7" max="100" page="10" val="0"/>
</file>

<file path=xl/ctrlProps/ctrlProp33.xml><?xml version="1.0" encoding="utf-8"?>
<formControlPr xmlns="http://schemas.microsoft.com/office/spreadsheetml/2009/9/main" objectType="Spin" dx="22" fmlaLink="$G$8" max="100" page="10" val="0"/>
</file>

<file path=xl/ctrlProps/ctrlProp34.xml><?xml version="1.0" encoding="utf-8"?>
<formControlPr xmlns="http://schemas.microsoft.com/office/spreadsheetml/2009/9/main" objectType="Spin" dx="22" fmlaLink="$G$9" max="100" page="10" val="0"/>
</file>

<file path=xl/ctrlProps/ctrlProp35.xml><?xml version="1.0" encoding="utf-8"?>
<formControlPr xmlns="http://schemas.microsoft.com/office/spreadsheetml/2009/9/main" objectType="Spin" dx="22" fmlaLink="$G$10" max="100" page="10" val="0"/>
</file>

<file path=xl/ctrlProps/ctrlProp36.xml><?xml version="1.0" encoding="utf-8"?>
<formControlPr xmlns="http://schemas.microsoft.com/office/spreadsheetml/2009/9/main" objectType="Spin" dx="22" fmlaLink="$G$11" max="100" page="10" val="0"/>
</file>

<file path=xl/ctrlProps/ctrlProp37.xml><?xml version="1.0" encoding="utf-8"?>
<formControlPr xmlns="http://schemas.microsoft.com/office/spreadsheetml/2009/9/main" objectType="Spin" dx="22" fmlaLink="$H$2" max="100" page="10" val="0"/>
</file>

<file path=xl/ctrlProps/ctrlProp38.xml><?xml version="1.0" encoding="utf-8"?>
<formControlPr xmlns="http://schemas.microsoft.com/office/spreadsheetml/2009/9/main" objectType="Spin" dx="22" fmlaLink="$H$3" max="100" page="10" val="0"/>
</file>

<file path=xl/ctrlProps/ctrlProp39.xml><?xml version="1.0" encoding="utf-8"?>
<formControlPr xmlns="http://schemas.microsoft.com/office/spreadsheetml/2009/9/main" objectType="Spin" dx="22" fmlaLink="$H$4" max="100" page="10" val="0"/>
</file>

<file path=xl/ctrlProps/ctrlProp40.xml><?xml version="1.0" encoding="utf-8"?>
<formControlPr xmlns="http://schemas.microsoft.com/office/spreadsheetml/2009/9/main" objectType="Spin" dx="22" fmlaLink="$H$5" max="100" page="10" val="0"/>
</file>

<file path=xl/ctrlProps/ctrlProp41.xml><?xml version="1.0" encoding="utf-8"?>
<formControlPr xmlns="http://schemas.microsoft.com/office/spreadsheetml/2009/9/main" objectType="Spin" dx="22" fmlaLink="$H$6" max="100" page="10" val="0"/>
</file>

<file path=xl/ctrlProps/ctrlProp42.xml><?xml version="1.0" encoding="utf-8"?>
<formControlPr xmlns="http://schemas.microsoft.com/office/spreadsheetml/2009/9/main" objectType="Spin" dx="22" fmlaLink="$H$7" max="100" page="10" val="0"/>
</file>

<file path=xl/ctrlProps/ctrlProp43.xml><?xml version="1.0" encoding="utf-8"?>
<formControlPr xmlns="http://schemas.microsoft.com/office/spreadsheetml/2009/9/main" objectType="Spin" dx="22" fmlaLink="$H$8" max="100" page="10" val="0"/>
</file>

<file path=xl/ctrlProps/ctrlProp44.xml><?xml version="1.0" encoding="utf-8"?>
<formControlPr xmlns="http://schemas.microsoft.com/office/spreadsheetml/2009/9/main" objectType="Spin" dx="22" fmlaLink="$H$9" max="100" page="10" val="0"/>
</file>

<file path=xl/ctrlProps/ctrlProp45.xml><?xml version="1.0" encoding="utf-8"?>
<formControlPr xmlns="http://schemas.microsoft.com/office/spreadsheetml/2009/9/main" objectType="Spin" dx="22" fmlaLink="$H$10" max="100" page="10" val="0"/>
</file>

<file path=xl/ctrlProps/ctrlProp46.xml><?xml version="1.0" encoding="utf-8"?>
<formControlPr xmlns="http://schemas.microsoft.com/office/spreadsheetml/2009/9/main" objectType="Spin" dx="22" fmlaLink="$H$11" max="100" page="10" val="0"/>
</file>

<file path=xl/ctrlProps/ctrlProp47.xml><?xml version="1.0" encoding="utf-8"?>
<formControlPr xmlns="http://schemas.microsoft.com/office/spreadsheetml/2009/9/main" objectType="Spin" dx="22" fmlaLink="$I$2" max="100" page="10" val="0"/>
</file>

<file path=xl/ctrlProps/ctrlProp48.xml><?xml version="1.0" encoding="utf-8"?>
<formControlPr xmlns="http://schemas.microsoft.com/office/spreadsheetml/2009/9/main" objectType="Spin" dx="22" fmlaLink="$I$3" max="100" page="10" val="0"/>
</file>

<file path=xl/ctrlProps/ctrlProp49.xml><?xml version="1.0" encoding="utf-8"?>
<formControlPr xmlns="http://schemas.microsoft.com/office/spreadsheetml/2009/9/main" objectType="Spin" dx="22" fmlaLink="$I$4" max="100" page="10" val="0"/>
</file>

<file path=xl/ctrlProps/ctrlProp50.xml><?xml version="1.0" encoding="utf-8"?>
<formControlPr xmlns="http://schemas.microsoft.com/office/spreadsheetml/2009/9/main" objectType="Spin" dx="22" fmlaLink="$I$5" max="100" page="10" val="0"/>
</file>

<file path=xl/ctrlProps/ctrlProp51.xml><?xml version="1.0" encoding="utf-8"?>
<formControlPr xmlns="http://schemas.microsoft.com/office/spreadsheetml/2009/9/main" objectType="Spin" dx="22" fmlaLink="$I$6" max="100" page="10" val="0"/>
</file>

<file path=xl/ctrlProps/ctrlProp52.xml><?xml version="1.0" encoding="utf-8"?>
<formControlPr xmlns="http://schemas.microsoft.com/office/spreadsheetml/2009/9/main" objectType="Spin" dx="22" fmlaLink="$I$7" max="100" page="10" val="0"/>
</file>

<file path=xl/ctrlProps/ctrlProp53.xml><?xml version="1.0" encoding="utf-8"?>
<formControlPr xmlns="http://schemas.microsoft.com/office/spreadsheetml/2009/9/main" objectType="Spin" dx="22" fmlaLink="$I$8" max="100" page="10" val="0"/>
</file>

<file path=xl/ctrlProps/ctrlProp54.xml><?xml version="1.0" encoding="utf-8"?>
<formControlPr xmlns="http://schemas.microsoft.com/office/spreadsheetml/2009/9/main" objectType="Spin" dx="22" fmlaLink="$I$9" max="100" page="10" val="0"/>
</file>

<file path=xl/ctrlProps/ctrlProp55.xml><?xml version="1.0" encoding="utf-8"?>
<formControlPr xmlns="http://schemas.microsoft.com/office/spreadsheetml/2009/9/main" objectType="Spin" dx="22" fmlaLink="$I$10" max="100" page="10" val="0"/>
</file>

<file path=xl/ctrlProps/ctrlProp56.xml><?xml version="1.0" encoding="utf-8"?>
<formControlPr xmlns="http://schemas.microsoft.com/office/spreadsheetml/2009/9/main" objectType="Spin" dx="22" fmlaLink="$I$11" max="100" page="10" val="0"/>
</file>

<file path=xl/ctrlProps/ctrlProp57.xml><?xml version="1.0" encoding="utf-8"?>
<formControlPr xmlns="http://schemas.microsoft.com/office/spreadsheetml/2009/9/main" objectType="Spin" dx="22" fmlaLink="$J$2" max="100" page="10" val="0"/>
</file>

<file path=xl/ctrlProps/ctrlProp58.xml><?xml version="1.0" encoding="utf-8"?>
<formControlPr xmlns="http://schemas.microsoft.com/office/spreadsheetml/2009/9/main" objectType="Spin" dx="22" fmlaLink="$J$3" max="100" page="10" val="0"/>
</file>

<file path=xl/ctrlProps/ctrlProp59.xml><?xml version="1.0" encoding="utf-8"?>
<formControlPr xmlns="http://schemas.microsoft.com/office/spreadsheetml/2009/9/main" objectType="Spin" dx="22" fmlaLink="$J$4" max="100" page="10" val="0"/>
</file>

<file path=xl/ctrlProps/ctrlProp60.xml><?xml version="1.0" encoding="utf-8"?>
<formControlPr xmlns="http://schemas.microsoft.com/office/spreadsheetml/2009/9/main" objectType="Spin" dx="22" fmlaLink="$J$5" max="100" page="10" val="0"/>
</file>

<file path=xl/ctrlProps/ctrlProp61.xml><?xml version="1.0" encoding="utf-8"?>
<formControlPr xmlns="http://schemas.microsoft.com/office/spreadsheetml/2009/9/main" objectType="Spin" dx="22" fmlaLink="$J$6" max="100" page="10" val="0"/>
</file>

<file path=xl/ctrlProps/ctrlProp62.xml><?xml version="1.0" encoding="utf-8"?>
<formControlPr xmlns="http://schemas.microsoft.com/office/spreadsheetml/2009/9/main" objectType="Spin" dx="22" fmlaLink="$J$7" max="100" page="10" val="0"/>
</file>

<file path=xl/ctrlProps/ctrlProp63.xml><?xml version="1.0" encoding="utf-8"?>
<formControlPr xmlns="http://schemas.microsoft.com/office/spreadsheetml/2009/9/main" objectType="Spin" dx="22" fmlaLink="$J$8" max="100" page="10" val="0"/>
</file>

<file path=xl/ctrlProps/ctrlProp64.xml><?xml version="1.0" encoding="utf-8"?>
<formControlPr xmlns="http://schemas.microsoft.com/office/spreadsheetml/2009/9/main" objectType="Spin" dx="22" fmlaLink="$J$9" max="100" page="10" val="0"/>
</file>

<file path=xl/ctrlProps/ctrlProp65.xml><?xml version="1.0" encoding="utf-8"?>
<formControlPr xmlns="http://schemas.microsoft.com/office/spreadsheetml/2009/9/main" objectType="Spin" dx="22" fmlaLink="$J$10" max="100" page="10" val="0"/>
</file>

<file path=xl/ctrlProps/ctrlProp66.xml><?xml version="1.0" encoding="utf-8"?>
<formControlPr xmlns="http://schemas.microsoft.com/office/spreadsheetml/2009/9/main" objectType="Spin" dx="22" fmlaLink="$J$11" max="100" page="10" val="0"/>
</file>

<file path=xl/ctrlProps/ctrlProp67.xml><?xml version="1.0" encoding="utf-8"?>
<formControlPr xmlns="http://schemas.microsoft.com/office/spreadsheetml/2009/9/main" objectType="Spin" dx="22" fmlaLink="$K$2" max="100" page="10" val="0"/>
</file>

<file path=xl/ctrlProps/ctrlProp68.xml><?xml version="1.0" encoding="utf-8"?>
<formControlPr xmlns="http://schemas.microsoft.com/office/spreadsheetml/2009/9/main" objectType="Spin" dx="22" fmlaLink="$K$3" max="100" page="10" val="0"/>
</file>

<file path=xl/ctrlProps/ctrlProp69.xml><?xml version="1.0" encoding="utf-8"?>
<formControlPr xmlns="http://schemas.microsoft.com/office/spreadsheetml/2009/9/main" objectType="Spin" dx="22" fmlaLink="$K$4" max="100" page="10" val="0"/>
</file>

<file path=xl/ctrlProps/ctrlProp70.xml><?xml version="1.0" encoding="utf-8"?>
<formControlPr xmlns="http://schemas.microsoft.com/office/spreadsheetml/2009/9/main" objectType="Spin" dx="22" fmlaLink="$K$5" max="100" page="10" val="0"/>
</file>

<file path=xl/ctrlProps/ctrlProp71.xml><?xml version="1.0" encoding="utf-8"?>
<formControlPr xmlns="http://schemas.microsoft.com/office/spreadsheetml/2009/9/main" objectType="Spin" dx="22" fmlaLink="$K$6" max="100" page="10" val="0"/>
</file>

<file path=xl/ctrlProps/ctrlProp72.xml><?xml version="1.0" encoding="utf-8"?>
<formControlPr xmlns="http://schemas.microsoft.com/office/spreadsheetml/2009/9/main" objectType="Spin" dx="22" fmlaLink="$K$7" max="100" page="10" val="0"/>
</file>

<file path=xl/ctrlProps/ctrlProp73.xml><?xml version="1.0" encoding="utf-8"?>
<formControlPr xmlns="http://schemas.microsoft.com/office/spreadsheetml/2009/9/main" objectType="Spin" dx="22" fmlaLink="$K$8" max="100" page="10" val="0"/>
</file>

<file path=xl/ctrlProps/ctrlProp74.xml><?xml version="1.0" encoding="utf-8"?>
<formControlPr xmlns="http://schemas.microsoft.com/office/spreadsheetml/2009/9/main" objectType="Spin" dx="22" fmlaLink="$K$9" max="100" page="10" val="0"/>
</file>

<file path=xl/ctrlProps/ctrlProp75.xml><?xml version="1.0" encoding="utf-8"?>
<formControlPr xmlns="http://schemas.microsoft.com/office/spreadsheetml/2009/9/main" objectType="Spin" dx="22" fmlaLink="$K$10" max="100" page="10" val="0"/>
</file>

<file path=xl/ctrlProps/ctrlProp76.xml><?xml version="1.0" encoding="utf-8"?>
<formControlPr xmlns="http://schemas.microsoft.com/office/spreadsheetml/2009/9/main" objectType="Spin" dx="22" fmlaLink="$K$11" max="100" page="10" val="0"/>
</file>

<file path=xl/ctrlProps/ctrlProp77.xml><?xml version="1.0" encoding="utf-8"?>
<formControlPr xmlns="http://schemas.microsoft.com/office/spreadsheetml/2009/9/main" objectType="Spin" dx="22" fmlaLink="$L$2" max="100" page="10" val="0"/>
</file>

<file path=xl/ctrlProps/ctrlProp78.xml><?xml version="1.0" encoding="utf-8"?>
<formControlPr xmlns="http://schemas.microsoft.com/office/spreadsheetml/2009/9/main" objectType="Spin" dx="22" fmlaLink="$L$3" max="100" page="10" val="0"/>
</file>

<file path=xl/ctrlProps/ctrlProp79.xml><?xml version="1.0" encoding="utf-8"?>
<formControlPr xmlns="http://schemas.microsoft.com/office/spreadsheetml/2009/9/main" objectType="Spin" dx="22" fmlaLink="$L$4" max="100" page="10" val="0"/>
</file>

<file path=xl/ctrlProps/ctrlProp80.xml><?xml version="1.0" encoding="utf-8"?>
<formControlPr xmlns="http://schemas.microsoft.com/office/spreadsheetml/2009/9/main" objectType="Spin" dx="22" fmlaLink="$L$5" max="100" page="10" val="0"/>
</file>

<file path=xl/ctrlProps/ctrlProp81.xml><?xml version="1.0" encoding="utf-8"?>
<formControlPr xmlns="http://schemas.microsoft.com/office/spreadsheetml/2009/9/main" objectType="Spin" dx="22" fmlaLink="$L$6" max="100" page="10" val="0"/>
</file>

<file path=xl/ctrlProps/ctrlProp82.xml><?xml version="1.0" encoding="utf-8"?>
<formControlPr xmlns="http://schemas.microsoft.com/office/spreadsheetml/2009/9/main" objectType="Spin" dx="22" fmlaLink="$L$7" max="100" page="10" val="0"/>
</file>

<file path=xl/ctrlProps/ctrlProp83.xml><?xml version="1.0" encoding="utf-8"?>
<formControlPr xmlns="http://schemas.microsoft.com/office/spreadsheetml/2009/9/main" objectType="Spin" dx="22" fmlaLink="$L$8" max="100" page="10" val="0"/>
</file>

<file path=xl/ctrlProps/ctrlProp84.xml><?xml version="1.0" encoding="utf-8"?>
<formControlPr xmlns="http://schemas.microsoft.com/office/spreadsheetml/2009/9/main" objectType="Spin" dx="22" fmlaLink="$L$9" max="100" page="10" val="0"/>
</file>

<file path=xl/ctrlProps/ctrlProp85.xml><?xml version="1.0" encoding="utf-8"?>
<formControlPr xmlns="http://schemas.microsoft.com/office/spreadsheetml/2009/9/main" objectType="Spin" dx="22" fmlaLink="$L$10" max="100" page="10" val="0"/>
</file>

<file path=xl/ctrlProps/ctrlProp86.xml><?xml version="1.0" encoding="utf-8"?>
<formControlPr xmlns="http://schemas.microsoft.com/office/spreadsheetml/2009/9/main" objectType="Spin" dx="22" fmlaLink="$L$11" max="100" page="10" val="0"/>
</file>

<file path=xl/ctrlProps/ctrlProp87.xml><?xml version="1.0" encoding="utf-8"?>
<formControlPr xmlns="http://schemas.microsoft.com/office/spreadsheetml/2009/9/main" objectType="Spin" dx="22" fmlaLink="$M$2" max="100" page="10" val="0"/>
</file>

<file path=xl/ctrlProps/ctrlProp88.xml><?xml version="1.0" encoding="utf-8"?>
<formControlPr xmlns="http://schemas.microsoft.com/office/spreadsheetml/2009/9/main" objectType="Spin" dx="22" fmlaLink="$M$3" max="100" page="10" val="0"/>
</file>

<file path=xl/ctrlProps/ctrlProp89.xml><?xml version="1.0" encoding="utf-8"?>
<formControlPr xmlns="http://schemas.microsoft.com/office/spreadsheetml/2009/9/main" objectType="Spin" dx="22" fmlaLink="$M$4" max="100" page="10"/>
</file>

<file path=xl/ctrlProps/ctrlProp90.xml><?xml version="1.0" encoding="utf-8"?>
<formControlPr xmlns="http://schemas.microsoft.com/office/spreadsheetml/2009/9/main" objectType="Spin" dx="22" fmlaLink="$M$5" max="100" page="10" val="0"/>
</file>

<file path=xl/ctrlProps/ctrlProp91.xml><?xml version="1.0" encoding="utf-8"?>
<formControlPr xmlns="http://schemas.microsoft.com/office/spreadsheetml/2009/9/main" objectType="Spin" dx="22" fmlaLink="$M$6" max="100" page="10" val="0"/>
</file>

<file path=xl/ctrlProps/ctrlProp92.xml><?xml version="1.0" encoding="utf-8"?>
<formControlPr xmlns="http://schemas.microsoft.com/office/spreadsheetml/2009/9/main" objectType="Spin" dx="22" fmlaLink="$M$7" max="100" page="10" val="0"/>
</file>

<file path=xl/ctrlProps/ctrlProp93.xml><?xml version="1.0" encoding="utf-8"?>
<formControlPr xmlns="http://schemas.microsoft.com/office/spreadsheetml/2009/9/main" objectType="Spin" dx="22" fmlaLink="$M$8" max="100" page="10" val="0"/>
</file>

<file path=xl/ctrlProps/ctrlProp94.xml><?xml version="1.0" encoding="utf-8"?>
<formControlPr xmlns="http://schemas.microsoft.com/office/spreadsheetml/2009/9/main" objectType="Spin" dx="22" fmlaLink="$M$9" max="100" page="10" val="0"/>
</file>

<file path=xl/ctrlProps/ctrlProp95.xml><?xml version="1.0" encoding="utf-8"?>
<formControlPr xmlns="http://schemas.microsoft.com/office/spreadsheetml/2009/9/main" objectType="Spin" dx="22" fmlaLink="$M$10" max="100" page="10" val="0"/>
</file>

<file path=xl/ctrlProps/ctrlProp96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28575</xdr:rowOff>
        </xdr:from>
        <xdr:to>
          <xdr:col>2</xdr:col>
          <xdr:colOff>1028700</xdr:colOff>
          <xdr:row>1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</xdr:row>
          <xdr:rowOff>28575</xdr:rowOff>
        </xdr:from>
        <xdr:to>
          <xdr:col>2</xdr:col>
          <xdr:colOff>1028700</xdr:colOff>
          <xdr:row>2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</xdr:row>
          <xdr:rowOff>28575</xdr:rowOff>
        </xdr:from>
        <xdr:to>
          <xdr:col>2</xdr:col>
          <xdr:colOff>1028700</xdr:colOff>
          <xdr:row>3</xdr:row>
          <xdr:rowOff>209550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28575</xdr:rowOff>
        </xdr:from>
        <xdr:to>
          <xdr:col>2</xdr:col>
          <xdr:colOff>1028700</xdr:colOff>
          <xdr:row>4</xdr:row>
          <xdr:rowOff>209550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</xdr:row>
          <xdr:rowOff>28575</xdr:rowOff>
        </xdr:from>
        <xdr:to>
          <xdr:col>2</xdr:col>
          <xdr:colOff>1028700</xdr:colOff>
          <xdr:row>5</xdr:row>
          <xdr:rowOff>209550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6</xdr:row>
          <xdr:rowOff>28575</xdr:rowOff>
        </xdr:from>
        <xdr:to>
          <xdr:col>2</xdr:col>
          <xdr:colOff>1028700</xdr:colOff>
          <xdr:row>6</xdr:row>
          <xdr:rowOff>209550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28575</xdr:rowOff>
        </xdr:from>
        <xdr:to>
          <xdr:col>2</xdr:col>
          <xdr:colOff>1028700</xdr:colOff>
          <xdr:row>7</xdr:row>
          <xdr:rowOff>209550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28575</xdr:rowOff>
        </xdr:from>
        <xdr:to>
          <xdr:col>2</xdr:col>
          <xdr:colOff>1028700</xdr:colOff>
          <xdr:row>8</xdr:row>
          <xdr:rowOff>209550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28575</xdr:rowOff>
        </xdr:from>
        <xdr:to>
          <xdr:col>2</xdr:col>
          <xdr:colOff>1028700</xdr:colOff>
          <xdr:row>9</xdr:row>
          <xdr:rowOff>209550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28575</xdr:rowOff>
        </xdr:from>
        <xdr:to>
          <xdr:col>2</xdr:col>
          <xdr:colOff>1028700</xdr:colOff>
          <xdr:row>10</xdr:row>
          <xdr:rowOff>209550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28575</xdr:rowOff>
        </xdr:from>
        <xdr:to>
          <xdr:col>2</xdr:col>
          <xdr:colOff>1028700</xdr:colOff>
          <xdr:row>11</xdr:row>
          <xdr:rowOff>209550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12</xdr:row>
          <xdr:rowOff>28575</xdr:rowOff>
        </xdr:from>
        <xdr:to>
          <xdr:col>2</xdr:col>
          <xdr:colOff>1028700</xdr:colOff>
          <xdr:row>12</xdr:row>
          <xdr:rowOff>209550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28575</xdr:rowOff>
        </xdr:from>
        <xdr:to>
          <xdr:col>2</xdr:col>
          <xdr:colOff>1028700</xdr:colOff>
          <xdr:row>13</xdr:row>
          <xdr:rowOff>209550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28575</xdr:rowOff>
        </xdr:from>
        <xdr:to>
          <xdr:col>2</xdr:col>
          <xdr:colOff>1028700</xdr:colOff>
          <xdr:row>14</xdr:row>
          <xdr:rowOff>209550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28575</xdr:rowOff>
        </xdr:from>
        <xdr:to>
          <xdr:col>2</xdr:col>
          <xdr:colOff>1028700</xdr:colOff>
          <xdr:row>15</xdr:row>
          <xdr:rowOff>209550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6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6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6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6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6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6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6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6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6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6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6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6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6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6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6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6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6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6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6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6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6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6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6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6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6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6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6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6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6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6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6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6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6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6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6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6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6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6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6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6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6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6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6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6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6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6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6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6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6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6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6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89" name="Spinner 3529" hidden="1">
              <a:extLst>
                <a:ext uri="{63B3BB69-23CF-44E3-9099-C40C66FF867C}">
                  <a14:compatExt spid="_x0000_s44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90" name="Spinner 3530" hidden="1">
              <a:extLst>
                <a:ext uri="{63B3BB69-23CF-44E3-9099-C40C66FF867C}">
                  <a14:compatExt spid="_x0000_s44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91" name="Spinner 3531" hidden="1">
              <a:extLst>
                <a:ext uri="{63B3BB69-23CF-44E3-9099-C40C66FF867C}">
                  <a14:compatExt spid="_x0000_s44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92" name="Spinner 3532" hidden="1">
              <a:extLst>
                <a:ext uri="{63B3BB69-23CF-44E3-9099-C40C66FF867C}">
                  <a14:compatExt spid="_x0000_s44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93" name="Spinner 3533" hidden="1">
              <a:extLst>
                <a:ext uri="{63B3BB69-23CF-44E3-9099-C40C66FF867C}">
                  <a14:compatExt spid="_x0000_s44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94" name="Spinner 3534" hidden="1">
              <a:extLst>
                <a:ext uri="{63B3BB69-23CF-44E3-9099-C40C66FF867C}">
                  <a14:compatExt spid="_x0000_s44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95" name="Spinner 3535" hidden="1">
              <a:extLst>
                <a:ext uri="{63B3BB69-23CF-44E3-9099-C40C66FF867C}">
                  <a14:compatExt spid="_x0000_s44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96" name="Spinner 3536" hidden="1">
              <a:extLst>
                <a:ext uri="{63B3BB69-23CF-44E3-9099-C40C66FF867C}">
                  <a14:compatExt spid="_x0000_s4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97" name="Spinner 3537" hidden="1">
              <a:extLst>
                <a:ext uri="{63B3BB69-23CF-44E3-9099-C40C66FF867C}">
                  <a14:compatExt spid="_x0000_s4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98" name="Spinner 3538" hidden="1">
              <a:extLst>
                <a:ext uri="{63B3BB69-23CF-44E3-9099-C40C66FF867C}">
                  <a14:compatExt spid="_x0000_s4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500" name="Spinner 3540" hidden="1">
              <a:extLst>
                <a:ext uri="{63B3BB69-23CF-44E3-9099-C40C66FF867C}">
                  <a14:compatExt spid="_x0000_s4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501" name="Spinner 3541" hidden="1">
              <a:extLst>
                <a:ext uri="{63B3BB69-23CF-44E3-9099-C40C66FF867C}">
                  <a14:compatExt spid="_x0000_s4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502" name="Spinner 3542" hidden="1">
              <a:extLst>
                <a:ext uri="{63B3BB69-23CF-44E3-9099-C40C66FF867C}">
                  <a14:compatExt spid="_x0000_s4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503" name="Spinner 3543" hidden="1">
              <a:extLst>
                <a:ext uri="{63B3BB69-23CF-44E3-9099-C40C66FF867C}">
                  <a14:compatExt spid="_x0000_s4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504" name="Spinner 3544" hidden="1">
              <a:extLst>
                <a:ext uri="{63B3BB69-23CF-44E3-9099-C40C66FF867C}">
                  <a14:compatExt spid="_x0000_s4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505" name="Spinner 3545" hidden="1">
              <a:extLst>
                <a:ext uri="{63B3BB69-23CF-44E3-9099-C40C66FF867C}">
                  <a14:compatExt spid="_x0000_s4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506" name="Spinner 3546" hidden="1">
              <a:extLst>
                <a:ext uri="{63B3BB69-23CF-44E3-9099-C40C66FF867C}">
                  <a14:compatExt spid="_x0000_s4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507" name="Spinner 3547" hidden="1">
              <a:extLst>
                <a:ext uri="{63B3BB69-23CF-44E3-9099-C40C66FF867C}">
                  <a14:compatExt spid="_x0000_s4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508" name="Spinner 3548" hidden="1">
              <a:extLst>
                <a:ext uri="{63B3BB69-23CF-44E3-9099-C40C66FF867C}">
                  <a14:compatExt spid="_x0000_s4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509" name="Spinner 3549" hidden="1">
              <a:extLst>
                <a:ext uri="{63B3BB69-23CF-44E3-9099-C40C66FF867C}">
                  <a14:compatExt spid="_x0000_s4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510" name="Spinner 3550" hidden="1">
              <a:extLst>
                <a:ext uri="{63B3BB69-23CF-44E3-9099-C40C66FF867C}">
                  <a14:compatExt spid="_x0000_s4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511" name="Spinner 3551" hidden="1">
              <a:extLst>
                <a:ext uri="{63B3BB69-23CF-44E3-9099-C40C66FF867C}">
                  <a14:compatExt spid="_x0000_s4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512" name="Spinner 3552" hidden="1">
              <a:extLst>
                <a:ext uri="{63B3BB69-23CF-44E3-9099-C40C66FF867C}">
                  <a14:compatExt spid="_x0000_s4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513" name="Spinner 3553" hidden="1">
              <a:extLst>
                <a:ext uri="{63B3BB69-23CF-44E3-9099-C40C66FF867C}">
                  <a14:compatExt spid="_x0000_s4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514" name="Spinner 3554" hidden="1">
              <a:extLst>
                <a:ext uri="{63B3BB69-23CF-44E3-9099-C40C66FF867C}">
                  <a14:compatExt spid="_x0000_s4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515" name="Spinner 3555" hidden="1">
              <a:extLst>
                <a:ext uri="{63B3BB69-23CF-44E3-9099-C40C66FF867C}">
                  <a14:compatExt spid="_x0000_s4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516" name="Spinner 3556" hidden="1">
              <a:extLst>
                <a:ext uri="{63B3BB69-23CF-44E3-9099-C40C66FF867C}">
                  <a14:compatExt spid="_x0000_s4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517" name="Spinner 3557" hidden="1">
              <a:extLst>
                <a:ext uri="{63B3BB69-23CF-44E3-9099-C40C66FF867C}">
                  <a14:compatExt spid="_x0000_s4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518" name="Spinner 3558" hidden="1">
              <a:extLst>
                <a:ext uri="{63B3BB69-23CF-44E3-9099-C40C66FF867C}">
                  <a14:compatExt spid="_x0000_s4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519" name="Spinner 3559" hidden="1">
              <a:extLst>
                <a:ext uri="{63B3BB69-23CF-44E3-9099-C40C66FF867C}">
                  <a14:compatExt spid="_x0000_s4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.xml"/><Relationship Id="rId21" Type="http://schemas.openxmlformats.org/officeDocument/2006/relationships/ctrlProp" Target="../ctrlProps/ctrlProp33.xml"/><Relationship Id="rId42" Type="http://schemas.openxmlformats.org/officeDocument/2006/relationships/ctrlProp" Target="../ctrlProps/ctrlProp54.xml"/><Relationship Id="rId47" Type="http://schemas.openxmlformats.org/officeDocument/2006/relationships/ctrlProp" Target="../ctrlProps/ctrlProp59.xml"/><Relationship Id="rId63" Type="http://schemas.openxmlformats.org/officeDocument/2006/relationships/ctrlProp" Target="../ctrlProps/ctrlProp75.xml"/><Relationship Id="rId68" Type="http://schemas.openxmlformats.org/officeDocument/2006/relationships/ctrlProp" Target="../ctrlProps/ctrlProp80.xml"/><Relationship Id="rId84" Type="http://schemas.openxmlformats.org/officeDocument/2006/relationships/ctrlProp" Target="../ctrlProps/ctrlProp96.xml"/><Relationship Id="rId16" Type="http://schemas.openxmlformats.org/officeDocument/2006/relationships/ctrlProp" Target="../ctrlProps/ctrlProp28.xml"/><Relationship Id="rId11" Type="http://schemas.openxmlformats.org/officeDocument/2006/relationships/ctrlProp" Target="../ctrlProps/ctrlProp23.xml"/><Relationship Id="rId32" Type="http://schemas.openxmlformats.org/officeDocument/2006/relationships/ctrlProp" Target="../ctrlProps/ctrlProp44.xml"/><Relationship Id="rId37" Type="http://schemas.openxmlformats.org/officeDocument/2006/relationships/ctrlProp" Target="../ctrlProps/ctrlProp49.xml"/><Relationship Id="rId53" Type="http://schemas.openxmlformats.org/officeDocument/2006/relationships/ctrlProp" Target="../ctrlProps/ctrlProp65.xml"/><Relationship Id="rId58" Type="http://schemas.openxmlformats.org/officeDocument/2006/relationships/ctrlProp" Target="../ctrlProps/ctrlProp70.xml"/><Relationship Id="rId74" Type="http://schemas.openxmlformats.org/officeDocument/2006/relationships/ctrlProp" Target="../ctrlProps/ctrlProp86.xml"/><Relationship Id="rId79" Type="http://schemas.openxmlformats.org/officeDocument/2006/relationships/ctrlProp" Target="../ctrlProps/ctrlProp91.xml"/><Relationship Id="rId5" Type="http://schemas.openxmlformats.org/officeDocument/2006/relationships/ctrlProp" Target="../ctrlProps/ctrlProp17.xml"/><Relationship Id="rId61" Type="http://schemas.openxmlformats.org/officeDocument/2006/relationships/ctrlProp" Target="../ctrlProps/ctrlProp73.xml"/><Relationship Id="rId82" Type="http://schemas.openxmlformats.org/officeDocument/2006/relationships/ctrlProp" Target="../ctrlProps/ctrlProp94.xml"/><Relationship Id="rId19" Type="http://schemas.openxmlformats.org/officeDocument/2006/relationships/ctrlProp" Target="../ctrlProps/ctrlProp3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Relationship Id="rId27" Type="http://schemas.openxmlformats.org/officeDocument/2006/relationships/ctrlProp" Target="../ctrlProps/ctrlProp39.xml"/><Relationship Id="rId30" Type="http://schemas.openxmlformats.org/officeDocument/2006/relationships/ctrlProp" Target="../ctrlProps/ctrlProp42.xml"/><Relationship Id="rId35" Type="http://schemas.openxmlformats.org/officeDocument/2006/relationships/ctrlProp" Target="../ctrlProps/ctrlProp47.xml"/><Relationship Id="rId43" Type="http://schemas.openxmlformats.org/officeDocument/2006/relationships/ctrlProp" Target="../ctrlProps/ctrlProp55.xml"/><Relationship Id="rId48" Type="http://schemas.openxmlformats.org/officeDocument/2006/relationships/ctrlProp" Target="../ctrlProps/ctrlProp60.xml"/><Relationship Id="rId56" Type="http://schemas.openxmlformats.org/officeDocument/2006/relationships/ctrlProp" Target="../ctrlProps/ctrlProp68.xml"/><Relationship Id="rId64" Type="http://schemas.openxmlformats.org/officeDocument/2006/relationships/ctrlProp" Target="../ctrlProps/ctrlProp76.xml"/><Relationship Id="rId69" Type="http://schemas.openxmlformats.org/officeDocument/2006/relationships/ctrlProp" Target="../ctrlProps/ctrlProp81.xml"/><Relationship Id="rId77" Type="http://schemas.openxmlformats.org/officeDocument/2006/relationships/ctrlProp" Target="../ctrlProps/ctrlProp89.xml"/><Relationship Id="rId8" Type="http://schemas.openxmlformats.org/officeDocument/2006/relationships/ctrlProp" Target="../ctrlProps/ctrlProp20.xml"/><Relationship Id="rId51" Type="http://schemas.openxmlformats.org/officeDocument/2006/relationships/ctrlProp" Target="../ctrlProps/ctrlProp63.xml"/><Relationship Id="rId72" Type="http://schemas.openxmlformats.org/officeDocument/2006/relationships/ctrlProp" Target="../ctrlProps/ctrlProp84.xml"/><Relationship Id="rId80" Type="http://schemas.openxmlformats.org/officeDocument/2006/relationships/ctrlProp" Target="../ctrlProps/ctrlProp9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5" Type="http://schemas.openxmlformats.org/officeDocument/2006/relationships/ctrlProp" Target="../ctrlProps/ctrlProp37.xml"/><Relationship Id="rId33" Type="http://schemas.openxmlformats.org/officeDocument/2006/relationships/ctrlProp" Target="../ctrlProps/ctrlProp45.xml"/><Relationship Id="rId38" Type="http://schemas.openxmlformats.org/officeDocument/2006/relationships/ctrlProp" Target="../ctrlProps/ctrlProp50.xml"/><Relationship Id="rId46" Type="http://schemas.openxmlformats.org/officeDocument/2006/relationships/ctrlProp" Target="../ctrlProps/ctrlProp58.xml"/><Relationship Id="rId59" Type="http://schemas.openxmlformats.org/officeDocument/2006/relationships/ctrlProp" Target="../ctrlProps/ctrlProp71.xml"/><Relationship Id="rId67" Type="http://schemas.openxmlformats.org/officeDocument/2006/relationships/ctrlProp" Target="../ctrlProps/ctrlProp79.xml"/><Relationship Id="rId20" Type="http://schemas.openxmlformats.org/officeDocument/2006/relationships/ctrlProp" Target="../ctrlProps/ctrlProp32.xml"/><Relationship Id="rId41" Type="http://schemas.openxmlformats.org/officeDocument/2006/relationships/ctrlProp" Target="../ctrlProps/ctrlProp53.xml"/><Relationship Id="rId54" Type="http://schemas.openxmlformats.org/officeDocument/2006/relationships/ctrlProp" Target="../ctrlProps/ctrlProp66.xml"/><Relationship Id="rId62" Type="http://schemas.openxmlformats.org/officeDocument/2006/relationships/ctrlProp" Target="../ctrlProps/ctrlProp74.xml"/><Relationship Id="rId70" Type="http://schemas.openxmlformats.org/officeDocument/2006/relationships/ctrlProp" Target="../ctrlProps/ctrlProp82.xml"/><Relationship Id="rId75" Type="http://schemas.openxmlformats.org/officeDocument/2006/relationships/ctrlProp" Target="../ctrlProps/ctrlProp87.xml"/><Relationship Id="rId83" Type="http://schemas.openxmlformats.org/officeDocument/2006/relationships/ctrlProp" Target="../ctrlProps/ctrlProp9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5" Type="http://schemas.openxmlformats.org/officeDocument/2006/relationships/ctrlProp" Target="../ctrlProps/ctrlProp27.xml"/><Relationship Id="rId23" Type="http://schemas.openxmlformats.org/officeDocument/2006/relationships/ctrlProp" Target="../ctrlProps/ctrlProp35.xml"/><Relationship Id="rId28" Type="http://schemas.openxmlformats.org/officeDocument/2006/relationships/ctrlProp" Target="../ctrlProps/ctrlProp40.xml"/><Relationship Id="rId36" Type="http://schemas.openxmlformats.org/officeDocument/2006/relationships/ctrlProp" Target="../ctrlProps/ctrlProp48.xml"/><Relationship Id="rId49" Type="http://schemas.openxmlformats.org/officeDocument/2006/relationships/ctrlProp" Target="../ctrlProps/ctrlProp61.xml"/><Relationship Id="rId57" Type="http://schemas.openxmlformats.org/officeDocument/2006/relationships/ctrlProp" Target="../ctrlProps/ctrlProp69.xml"/><Relationship Id="rId10" Type="http://schemas.openxmlformats.org/officeDocument/2006/relationships/ctrlProp" Target="../ctrlProps/ctrlProp22.xml"/><Relationship Id="rId31" Type="http://schemas.openxmlformats.org/officeDocument/2006/relationships/ctrlProp" Target="../ctrlProps/ctrlProp43.xml"/><Relationship Id="rId44" Type="http://schemas.openxmlformats.org/officeDocument/2006/relationships/ctrlProp" Target="../ctrlProps/ctrlProp56.xml"/><Relationship Id="rId52" Type="http://schemas.openxmlformats.org/officeDocument/2006/relationships/ctrlProp" Target="../ctrlProps/ctrlProp64.xml"/><Relationship Id="rId60" Type="http://schemas.openxmlformats.org/officeDocument/2006/relationships/ctrlProp" Target="../ctrlProps/ctrlProp72.xml"/><Relationship Id="rId65" Type="http://schemas.openxmlformats.org/officeDocument/2006/relationships/ctrlProp" Target="../ctrlProps/ctrlProp77.xml"/><Relationship Id="rId73" Type="http://schemas.openxmlformats.org/officeDocument/2006/relationships/ctrlProp" Target="../ctrlProps/ctrlProp85.xml"/><Relationship Id="rId78" Type="http://schemas.openxmlformats.org/officeDocument/2006/relationships/ctrlProp" Target="../ctrlProps/ctrlProp90.xml"/><Relationship Id="rId81" Type="http://schemas.openxmlformats.org/officeDocument/2006/relationships/ctrlProp" Target="../ctrlProps/ctrlProp93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9" Type="http://schemas.openxmlformats.org/officeDocument/2006/relationships/ctrlProp" Target="../ctrlProps/ctrlProp51.xml"/><Relationship Id="rId34" Type="http://schemas.openxmlformats.org/officeDocument/2006/relationships/ctrlProp" Target="../ctrlProps/ctrlProp46.xml"/><Relationship Id="rId50" Type="http://schemas.openxmlformats.org/officeDocument/2006/relationships/ctrlProp" Target="../ctrlProps/ctrlProp62.xml"/><Relationship Id="rId55" Type="http://schemas.openxmlformats.org/officeDocument/2006/relationships/ctrlProp" Target="../ctrlProps/ctrlProp67.xml"/><Relationship Id="rId76" Type="http://schemas.openxmlformats.org/officeDocument/2006/relationships/ctrlProp" Target="../ctrlProps/ctrlProp88.xml"/><Relationship Id="rId7" Type="http://schemas.openxmlformats.org/officeDocument/2006/relationships/ctrlProp" Target="../ctrlProps/ctrlProp19.xml"/><Relationship Id="rId71" Type="http://schemas.openxmlformats.org/officeDocument/2006/relationships/ctrlProp" Target="../ctrlProps/ctrlProp8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1.xml"/><Relationship Id="rId24" Type="http://schemas.openxmlformats.org/officeDocument/2006/relationships/ctrlProp" Target="../ctrlProps/ctrlProp36.xml"/><Relationship Id="rId40" Type="http://schemas.openxmlformats.org/officeDocument/2006/relationships/ctrlProp" Target="../ctrlProps/ctrlProp52.xml"/><Relationship Id="rId45" Type="http://schemas.openxmlformats.org/officeDocument/2006/relationships/ctrlProp" Target="../ctrlProps/ctrlProp57.xml"/><Relationship Id="rId66" Type="http://schemas.openxmlformats.org/officeDocument/2006/relationships/ctrlProp" Target="../ctrlProps/ctrlProp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2"/>
  <sheetViews>
    <sheetView workbookViewId="0">
      <selection sqref="A1:G1"/>
    </sheetView>
  </sheetViews>
  <sheetFormatPr defaultRowHeight="15" x14ac:dyDescent="0.25"/>
  <cols>
    <col min="1" max="1" width="11.28515625" customWidth="1"/>
    <col min="2" max="2" width="10.28515625" customWidth="1"/>
    <col min="3" max="3" width="16" customWidth="1"/>
    <col min="4" max="4" width="12.7109375" customWidth="1"/>
    <col min="5" max="5" width="13.7109375" customWidth="1"/>
    <col min="6" max="6" width="14" bestFit="1" customWidth="1"/>
    <col min="7" max="7" width="13.5703125" bestFit="1" customWidth="1"/>
  </cols>
  <sheetData>
    <row r="1" spans="1:7" x14ac:dyDescent="0.25">
      <c r="A1" s="68" t="s">
        <v>56</v>
      </c>
      <c r="B1" s="66"/>
      <c r="C1" s="66"/>
      <c r="D1" s="66"/>
      <c r="E1" s="66"/>
      <c r="F1" s="66"/>
      <c r="G1" s="67"/>
    </row>
    <row r="2" spans="1:7" x14ac:dyDescent="0.25">
      <c r="A2" s="68" t="s">
        <v>57</v>
      </c>
      <c r="B2" s="66"/>
      <c r="C2" s="66"/>
      <c r="D2" s="66"/>
      <c r="E2" s="66"/>
      <c r="F2" s="66"/>
      <c r="G2" s="67"/>
    </row>
    <row r="3" spans="1:7" x14ac:dyDescent="0.25">
      <c r="A3" s="68" t="s">
        <v>68</v>
      </c>
      <c r="B3" s="66"/>
      <c r="C3" s="66"/>
      <c r="D3" s="66"/>
      <c r="E3" s="66"/>
      <c r="F3" s="66"/>
      <c r="G3" s="67"/>
    </row>
    <row r="5" spans="1:7" x14ac:dyDescent="0.25">
      <c r="A5" s="57" t="s">
        <v>63</v>
      </c>
      <c r="B5" s="57" t="s">
        <v>17</v>
      </c>
      <c r="C5" s="57" t="s">
        <v>2</v>
      </c>
      <c r="D5" s="57" t="s">
        <v>3</v>
      </c>
      <c r="E5" s="57" t="s">
        <v>4</v>
      </c>
      <c r="F5" s="57" t="s">
        <v>66</v>
      </c>
      <c r="G5" s="57" t="s">
        <v>66</v>
      </c>
    </row>
    <row r="6" spans="1:7" x14ac:dyDescent="0.25">
      <c r="A6" s="65" t="s">
        <v>65</v>
      </c>
      <c r="B6" s="1">
        <v>125</v>
      </c>
      <c r="C6" s="1" t="s">
        <v>59</v>
      </c>
      <c r="D6" s="1" t="s">
        <v>61</v>
      </c>
      <c r="E6" s="1" t="s">
        <v>62</v>
      </c>
      <c r="F6" s="1"/>
      <c r="G6" s="1"/>
    </row>
    <row r="7" spans="1:7" x14ac:dyDescent="0.25">
      <c r="A7" s="65" t="s">
        <v>73</v>
      </c>
      <c r="B7" s="1">
        <v>0</v>
      </c>
      <c r="C7" s="1" t="s">
        <v>60</v>
      </c>
      <c r="D7" s="1" t="s">
        <v>60</v>
      </c>
      <c r="E7" s="1" t="s">
        <v>60</v>
      </c>
      <c r="F7" s="1"/>
      <c r="G7" s="1"/>
    </row>
    <row r="8" spans="1:7" x14ac:dyDescent="0.25">
      <c r="A8" s="65" t="s">
        <v>64</v>
      </c>
      <c r="B8" s="1">
        <v>50</v>
      </c>
      <c r="C8" s="1" t="s">
        <v>60</v>
      </c>
      <c r="D8" s="1" t="s">
        <v>60</v>
      </c>
      <c r="E8" s="1" t="s">
        <v>60</v>
      </c>
      <c r="F8" s="1" t="s">
        <v>67</v>
      </c>
      <c r="G8" s="1"/>
    </row>
    <row r="9" spans="1:7" x14ac:dyDescent="0.25">
      <c r="A9" s="65" t="s">
        <v>72</v>
      </c>
      <c r="B9" s="1">
        <v>285</v>
      </c>
      <c r="C9" s="1" t="s">
        <v>59</v>
      </c>
      <c r="D9" s="1" t="s">
        <v>61</v>
      </c>
      <c r="E9" s="1" t="s">
        <v>60</v>
      </c>
      <c r="F9" s="1" t="s">
        <v>70</v>
      </c>
      <c r="G9" s="1" t="s">
        <v>71</v>
      </c>
    </row>
    <row r="10" spans="1:7" x14ac:dyDescent="0.25">
      <c r="A10" s="65" t="s">
        <v>58</v>
      </c>
      <c r="B10" s="1">
        <v>25</v>
      </c>
      <c r="C10" s="1" t="s">
        <v>59</v>
      </c>
      <c r="D10" s="1" t="s">
        <v>60</v>
      </c>
      <c r="E10" s="1" t="s">
        <v>60</v>
      </c>
      <c r="F10" s="1"/>
      <c r="G10" s="1"/>
    </row>
    <row r="11" spans="1:7" x14ac:dyDescent="0.25">
      <c r="A11" s="65" t="s">
        <v>69</v>
      </c>
      <c r="B11" s="1">
        <v>125</v>
      </c>
      <c r="C11" s="1" t="s">
        <v>59</v>
      </c>
      <c r="D11" s="1" t="s">
        <v>61</v>
      </c>
      <c r="E11" s="1" t="s">
        <v>62</v>
      </c>
      <c r="F11" s="1"/>
      <c r="G11" s="1"/>
    </row>
    <row r="12" spans="1:7" x14ac:dyDescent="0.25">
      <c r="A12" s="6" t="s">
        <v>19</v>
      </c>
      <c r="B12" s="6">
        <v>610</v>
      </c>
    </row>
  </sheetData>
  <sortState ref="A6:G11">
    <sortCondition ref="A6"/>
  </sortState>
  <mergeCells count="3">
    <mergeCell ref="A1:G1"/>
    <mergeCell ref="A2:G2"/>
    <mergeCell ref="A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6"/>
  <sheetViews>
    <sheetView zoomScale="140" zoomScaleNormal="140" workbookViewId="0">
      <selection activeCell="D8" sqref="D8"/>
    </sheetView>
  </sheetViews>
  <sheetFormatPr defaultRowHeight="19.5" customHeight="1" x14ac:dyDescent="0.25"/>
  <cols>
    <col min="1" max="1" width="8.7109375" style="1"/>
    <col min="2" max="2" width="12.42578125" style="1" customWidth="1"/>
    <col min="3" max="3" width="17" style="1" customWidth="1"/>
  </cols>
  <sheetData>
    <row r="1" spans="1:3" ht="19.5" customHeight="1" x14ac:dyDescent="0.25">
      <c r="A1" s="2" t="s">
        <v>0</v>
      </c>
      <c r="B1" s="2" t="s">
        <v>1</v>
      </c>
      <c r="C1" s="2" t="s">
        <v>55</v>
      </c>
    </row>
    <row r="2" spans="1:3" ht="19.5" customHeight="1" x14ac:dyDescent="0.25">
      <c r="A2" s="1">
        <v>1</v>
      </c>
      <c r="B2" s="1" t="s">
        <v>5</v>
      </c>
    </row>
    <row r="3" spans="1:3" ht="19.5" customHeight="1" x14ac:dyDescent="0.25">
      <c r="A3" s="1">
        <v>2</v>
      </c>
      <c r="B3" s="1" t="s">
        <v>6</v>
      </c>
    </row>
    <row r="4" spans="1:3" ht="19.5" customHeight="1" x14ac:dyDescent="0.25">
      <c r="A4" s="1">
        <v>3</v>
      </c>
      <c r="B4" s="1" t="s">
        <v>7</v>
      </c>
    </row>
    <row r="5" spans="1:3" ht="19.5" customHeight="1" x14ac:dyDescent="0.25">
      <c r="A5" s="1">
        <v>4</v>
      </c>
      <c r="B5" s="1" t="s">
        <v>8</v>
      </c>
    </row>
    <row r="6" spans="1:3" ht="19.5" customHeight="1" x14ac:dyDescent="0.25">
      <c r="A6" s="1">
        <v>5</v>
      </c>
      <c r="B6" s="1" t="s">
        <v>9</v>
      </c>
    </row>
    <row r="7" spans="1:3" ht="19.5" customHeight="1" x14ac:dyDescent="0.25">
      <c r="A7" s="1">
        <v>6</v>
      </c>
      <c r="B7" s="1" t="s">
        <v>10</v>
      </c>
    </row>
    <row r="8" spans="1:3" ht="19.5" customHeight="1" x14ac:dyDescent="0.25">
      <c r="A8" s="1">
        <v>7</v>
      </c>
      <c r="B8" s="1" t="s">
        <v>21</v>
      </c>
    </row>
    <row r="9" spans="1:3" ht="19.5" customHeight="1" x14ac:dyDescent="0.25">
      <c r="A9" s="1">
        <v>8</v>
      </c>
      <c r="B9" s="1" t="s">
        <v>11</v>
      </c>
    </row>
    <row r="10" spans="1:3" ht="19.5" customHeight="1" x14ac:dyDescent="0.25">
      <c r="A10" s="1">
        <v>9</v>
      </c>
      <c r="B10" s="1" t="s">
        <v>12</v>
      </c>
    </row>
    <row r="11" spans="1:3" ht="19.5" customHeight="1" x14ac:dyDescent="0.25">
      <c r="A11" s="1">
        <v>10</v>
      </c>
      <c r="B11" s="1" t="s">
        <v>13</v>
      </c>
    </row>
    <row r="12" spans="1:3" ht="19.5" customHeight="1" x14ac:dyDescent="0.25">
      <c r="A12" s="1">
        <v>11</v>
      </c>
    </row>
    <row r="13" spans="1:3" ht="19.5" customHeight="1" x14ac:dyDescent="0.25">
      <c r="A13" s="1">
        <v>12</v>
      </c>
    </row>
    <row r="14" spans="1:3" ht="19.5" customHeight="1" x14ac:dyDescent="0.25">
      <c r="A14" s="1">
        <v>13</v>
      </c>
    </row>
    <row r="15" spans="1:3" ht="19.5" customHeight="1" x14ac:dyDescent="0.25">
      <c r="A15" s="1">
        <v>14</v>
      </c>
    </row>
    <row r="16" spans="1:3" ht="19.5" customHeight="1" x14ac:dyDescent="0.25">
      <c r="A16" s="1">
        <v>15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</xdr:row>
                    <xdr:rowOff>28575</xdr:rowOff>
                  </from>
                  <to>
                    <xdr:col>2</xdr:col>
                    <xdr:colOff>1028700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2</xdr:row>
                    <xdr:rowOff>28575</xdr:rowOff>
                  </from>
                  <to>
                    <xdr:col>2</xdr:col>
                    <xdr:colOff>1028700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3</xdr:row>
                    <xdr:rowOff>28575</xdr:rowOff>
                  </from>
                  <to>
                    <xdr:col>2</xdr:col>
                    <xdr:colOff>1028700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4</xdr:row>
                    <xdr:rowOff>28575</xdr:rowOff>
                  </from>
                  <to>
                    <xdr:col>2</xdr:col>
                    <xdr:colOff>1028700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5</xdr:row>
                    <xdr:rowOff>28575</xdr:rowOff>
                  </from>
                  <to>
                    <xdr:col>2</xdr:col>
                    <xdr:colOff>1028700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6</xdr:row>
                    <xdr:rowOff>28575</xdr:rowOff>
                  </from>
                  <to>
                    <xdr:col>2</xdr:col>
                    <xdr:colOff>1028700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7</xdr:row>
                    <xdr:rowOff>28575</xdr:rowOff>
                  </from>
                  <to>
                    <xdr:col>2</xdr:col>
                    <xdr:colOff>1028700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8</xdr:row>
                    <xdr:rowOff>28575</xdr:rowOff>
                  </from>
                  <to>
                    <xdr:col>2</xdr:col>
                    <xdr:colOff>1028700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9</xdr:row>
                    <xdr:rowOff>28575</xdr:rowOff>
                  </from>
                  <to>
                    <xdr:col>2</xdr:col>
                    <xdr:colOff>1028700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2</xdr:col>
                    <xdr:colOff>1028700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2</xdr:col>
                    <xdr:colOff>1028700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12</xdr:row>
                    <xdr:rowOff>28575</xdr:rowOff>
                  </from>
                  <to>
                    <xdr:col>2</xdr:col>
                    <xdr:colOff>1028700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13</xdr:row>
                    <xdr:rowOff>28575</xdr:rowOff>
                  </from>
                  <to>
                    <xdr:col>2</xdr:col>
                    <xdr:colOff>1028700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14</xdr:row>
                    <xdr:rowOff>28575</xdr:rowOff>
                  </from>
                  <to>
                    <xdr:col>2</xdr:col>
                    <xdr:colOff>1028700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15</xdr:row>
                    <xdr:rowOff>28575</xdr:rowOff>
                  </from>
                  <to>
                    <xdr:col>2</xdr:col>
                    <xdr:colOff>1028700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9" width="10.28515625" style="30" bestFit="1" customWidth="1"/>
    <col min="10" max="14" width="9.140625" style="8"/>
  </cols>
  <sheetData>
    <row r="1" spans="1:14" x14ac:dyDescent="0.25">
      <c r="A1" s="2" t="s">
        <v>0</v>
      </c>
      <c r="B1" s="2" t="s">
        <v>1</v>
      </c>
      <c r="C1" s="2" t="s">
        <v>20</v>
      </c>
      <c r="D1" s="4">
        <f ca="1">TODAY()</f>
        <v>45714</v>
      </c>
      <c r="E1" s="57" t="s">
        <v>72</v>
      </c>
      <c r="F1" s="57" t="s">
        <v>58</v>
      </c>
      <c r="G1" s="36">
        <v>45718</v>
      </c>
      <c r="H1" s="36">
        <v>45690</v>
      </c>
      <c r="I1" s="36">
        <v>45659</v>
      </c>
      <c r="J1" s="7"/>
      <c r="K1" s="7"/>
      <c r="L1" s="7"/>
      <c r="M1" s="7"/>
      <c r="N1" s="7"/>
    </row>
    <row r="2" spans="1:1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750</v>
      </c>
      <c r="D2" s="3">
        <f ca="1">IF(B2 &lt;&gt; "**Unoccupied**", 'Today_26-02-25'!N2, "-")</f>
        <v>125</v>
      </c>
      <c r="E2" s="29">
        <v>125</v>
      </c>
      <c r="F2" s="29">
        <v>125</v>
      </c>
      <c r="G2" s="29">
        <v>125</v>
      </c>
      <c r="H2" s="29">
        <v>125</v>
      </c>
      <c r="I2" s="29">
        <v>125</v>
      </c>
    </row>
    <row r="3" spans="1:1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750</v>
      </c>
      <c r="D3" s="3">
        <f ca="1">IF(B3 &lt;&gt; "**Unoccupied**", 'Today_26-02-25'!N3, "-")</f>
        <v>125</v>
      </c>
      <c r="E3" s="29">
        <v>125</v>
      </c>
      <c r="F3" s="29">
        <v>125</v>
      </c>
      <c r="G3" s="29">
        <v>125</v>
      </c>
      <c r="H3" s="29">
        <v>125</v>
      </c>
      <c r="I3" s="29">
        <v>125</v>
      </c>
    </row>
    <row r="4" spans="1:1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762</v>
      </c>
      <c r="D4" s="3">
        <f ca="1">IF(B4 &lt;&gt; "**Unoccupied**", 'Today_26-02-25'!N4, "-")</f>
        <v>137</v>
      </c>
      <c r="E4" s="29">
        <v>125</v>
      </c>
      <c r="F4" s="29">
        <v>125</v>
      </c>
      <c r="G4" s="29">
        <v>125</v>
      </c>
      <c r="H4" s="29">
        <v>125</v>
      </c>
      <c r="I4" s="29">
        <v>125</v>
      </c>
    </row>
    <row r="5" spans="1:1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750</v>
      </c>
      <c r="D5" s="3">
        <f ca="1">IF(B5 &lt;&gt; "**Unoccupied**", 'Today_26-02-25'!N5, "-")</f>
        <v>125</v>
      </c>
      <c r="E5" s="29">
        <v>125</v>
      </c>
      <c r="F5" s="29">
        <v>125</v>
      </c>
      <c r="G5" s="29">
        <v>125</v>
      </c>
      <c r="H5" s="29">
        <v>125</v>
      </c>
      <c r="I5" s="29">
        <v>125</v>
      </c>
    </row>
    <row r="6" spans="1:1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715</v>
      </c>
      <c r="D6" s="3">
        <f ca="1">IF(B6 &lt;&gt; "**Unoccupied**", 'Today_26-02-25'!N6, "-")</f>
        <v>125</v>
      </c>
      <c r="E6" s="29">
        <v>125</v>
      </c>
      <c r="F6" s="29">
        <v>125</v>
      </c>
      <c r="G6" s="29">
        <v>0</v>
      </c>
      <c r="H6" s="29">
        <v>75</v>
      </c>
      <c r="I6" s="29">
        <v>265</v>
      </c>
    </row>
    <row r="7" spans="1:1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750</v>
      </c>
      <c r="D7" s="3">
        <f ca="1">IF(B7 &lt;&gt; "**Unoccupied**", 'Today_26-02-25'!N7, "-")</f>
        <v>125</v>
      </c>
      <c r="E7" s="29">
        <v>125</v>
      </c>
      <c r="F7" s="29">
        <v>125</v>
      </c>
      <c r="G7" s="29">
        <v>125</v>
      </c>
      <c r="H7" s="29">
        <v>125</v>
      </c>
      <c r="I7" s="29">
        <v>125</v>
      </c>
    </row>
    <row r="8" spans="1:1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610</v>
      </c>
      <c r="D8" s="3">
        <f ca="1">IF(B8 &lt;&gt; "**Unoccupied**", 'Today_26-02-25'!N8, "-")</f>
        <v>125</v>
      </c>
      <c r="E8" s="29">
        <v>285</v>
      </c>
      <c r="F8" s="29">
        <v>25</v>
      </c>
      <c r="G8" s="29">
        <v>50</v>
      </c>
      <c r="H8" s="29">
        <v>0</v>
      </c>
      <c r="I8" s="29">
        <v>125</v>
      </c>
    </row>
    <row r="9" spans="1:1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750</v>
      </c>
      <c r="D9" s="3">
        <f ca="1">IF(B9 &lt;&gt; "**Unoccupied**", 'Today_26-02-25'!N9, "-")</f>
        <v>125</v>
      </c>
      <c r="E9" s="29">
        <v>125</v>
      </c>
      <c r="F9" s="29">
        <v>125</v>
      </c>
      <c r="G9" s="29">
        <v>125</v>
      </c>
      <c r="H9" s="29">
        <v>125</v>
      </c>
      <c r="I9" s="29">
        <v>125</v>
      </c>
    </row>
    <row r="10" spans="1:1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750</v>
      </c>
      <c r="D10" s="3">
        <f ca="1">IF(B10 &lt;&gt; "**Unoccupied**", 'Today_26-02-25'!N10, "-")</f>
        <v>125</v>
      </c>
      <c r="E10" s="29">
        <v>125</v>
      </c>
      <c r="F10" s="29">
        <v>125</v>
      </c>
      <c r="G10" s="29">
        <v>125</v>
      </c>
      <c r="H10" s="29">
        <v>125</v>
      </c>
      <c r="I10" s="29">
        <v>125</v>
      </c>
    </row>
    <row r="11" spans="1:1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750</v>
      </c>
      <c r="D11" s="3">
        <f ca="1">IF(B11 &lt;&gt; "**Unoccupied**", 'Today_26-02-25'!N11, "-")</f>
        <v>125</v>
      </c>
      <c r="E11" s="29">
        <v>125</v>
      </c>
      <c r="F11" s="29">
        <v>125</v>
      </c>
      <c r="G11" s="29">
        <v>125</v>
      </c>
      <c r="H11" s="29">
        <v>125</v>
      </c>
      <c r="I11" s="29">
        <v>125</v>
      </c>
    </row>
    <row r="12" spans="1:1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'Today_26-02-25'!N12, "-")</f>
        <v>-</v>
      </c>
      <c r="E12" s="29" t="s">
        <v>35</v>
      </c>
      <c r="F12" s="29" t="s">
        <v>35</v>
      </c>
      <c r="G12" s="29" t="s">
        <v>35</v>
      </c>
      <c r="H12" s="29" t="s">
        <v>35</v>
      </c>
      <c r="I12" s="29" t="s">
        <v>35</v>
      </c>
    </row>
    <row r="13" spans="1:1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'Today_26-02-25'!N13, "-")</f>
        <v>-</v>
      </c>
      <c r="E13" s="29" t="s">
        <v>35</v>
      </c>
      <c r="F13" s="29" t="s">
        <v>35</v>
      </c>
      <c r="G13" s="29" t="s">
        <v>35</v>
      </c>
      <c r="H13" s="29" t="s">
        <v>35</v>
      </c>
      <c r="I13" s="29" t="s">
        <v>35</v>
      </c>
    </row>
    <row r="14" spans="1:1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'Today_26-02-25'!N14, "-")</f>
        <v>-</v>
      </c>
      <c r="E14" s="29"/>
      <c r="F14" s="29"/>
      <c r="G14" s="29"/>
      <c r="H14" s="29"/>
      <c r="I14" s="29"/>
    </row>
    <row r="15" spans="1:1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'Today_26-02-25'!N15, "-")</f>
        <v>-</v>
      </c>
      <c r="E15" s="29"/>
      <c r="F15" s="29"/>
      <c r="G15" s="29"/>
      <c r="H15" s="29"/>
      <c r="I15" s="29"/>
    </row>
    <row r="16" spans="1:1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'Today_26-02-25'!N16, "-")</f>
        <v>-</v>
      </c>
      <c r="E16" s="29"/>
      <c r="F16" s="29"/>
      <c r="G16" s="29"/>
      <c r="H16" s="29"/>
      <c r="I16" s="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6"/>
  <sheetViews>
    <sheetView workbookViewId="0">
      <selection activeCell="C2" sqref="C2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750</v>
      </c>
      <c r="D2" s="6">
        <f ca="1">SUM($C:$C)</f>
        <v>7337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750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762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750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715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750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610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750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750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750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2"/>
  <sheetViews>
    <sheetView workbookViewId="0">
      <selection activeCell="F3" sqref="F3"/>
    </sheetView>
  </sheetViews>
  <sheetFormatPr defaultRowHeight="15" x14ac:dyDescent="0.25"/>
  <cols>
    <col min="1" max="1" width="9.7109375" style="33" bestFit="1" customWidth="1"/>
    <col min="2" max="4" width="11.5703125" style="35" customWidth="1"/>
    <col min="5" max="7" width="9.140625" style="32"/>
    <col min="8" max="10" width="11.5703125" style="35" customWidth="1"/>
    <col min="11" max="13" width="9.140625" style="32"/>
    <col min="19" max="21" width="9.140625" style="37"/>
  </cols>
  <sheetData>
    <row r="1" spans="1:21" x14ac:dyDescent="0.25">
      <c r="A1" s="59" t="s">
        <v>38</v>
      </c>
      <c r="B1" s="58" t="s">
        <v>37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S1" s="34" t="s">
        <v>42</v>
      </c>
      <c r="T1" s="34" t="s">
        <v>40</v>
      </c>
      <c r="U1" s="34" t="s">
        <v>41</v>
      </c>
    </row>
    <row r="2" spans="1:21" x14ac:dyDescent="0.25">
      <c r="A2" s="60"/>
      <c r="B2" s="34" t="s">
        <v>39</v>
      </c>
      <c r="C2" s="34" t="s">
        <v>40</v>
      </c>
      <c r="D2" s="34" t="s">
        <v>41</v>
      </c>
      <c r="E2" s="31" t="s">
        <v>2</v>
      </c>
      <c r="F2" s="31" t="s">
        <v>3</v>
      </c>
      <c r="G2" s="31" t="s">
        <v>4</v>
      </c>
      <c r="H2" s="34" t="s">
        <v>39</v>
      </c>
      <c r="I2" s="34" t="s">
        <v>40</v>
      </c>
      <c r="J2" s="34" t="s">
        <v>41</v>
      </c>
      <c r="K2" s="31" t="s">
        <v>2</v>
      </c>
      <c r="L2" s="31" t="s">
        <v>3</v>
      </c>
      <c r="M2" s="31" t="s">
        <v>4</v>
      </c>
      <c r="S2" s="37">
        <v>1</v>
      </c>
      <c r="T2" s="37">
        <v>1</v>
      </c>
      <c r="U2" s="37">
        <v>2025</v>
      </c>
    </row>
    <row r="3" spans="1:21" x14ac:dyDescent="0.25">
      <c r="A3" s="33">
        <v>1</v>
      </c>
      <c r="B3" s="35">
        <v>2</v>
      </c>
      <c r="C3" s="35">
        <v>2</v>
      </c>
      <c r="D3" s="35">
        <v>2025</v>
      </c>
      <c r="E3" s="32" t="s">
        <v>32</v>
      </c>
      <c r="F3" s="32" t="s">
        <v>32</v>
      </c>
      <c r="G3" s="32" t="s">
        <v>32</v>
      </c>
      <c r="S3" s="37">
        <v>2</v>
      </c>
      <c r="T3" s="37">
        <v>2</v>
      </c>
    </row>
    <row r="4" spans="1:21" x14ac:dyDescent="0.25">
      <c r="S4" s="37">
        <v>3</v>
      </c>
      <c r="T4" s="37">
        <v>3</v>
      </c>
    </row>
    <row r="5" spans="1:21" x14ac:dyDescent="0.25">
      <c r="S5" s="37">
        <v>4</v>
      </c>
      <c r="T5" s="37">
        <v>4</v>
      </c>
    </row>
    <row r="6" spans="1:21" x14ac:dyDescent="0.25">
      <c r="S6" s="37">
        <v>5</v>
      </c>
      <c r="T6" s="37">
        <v>5</v>
      </c>
    </row>
    <row r="7" spans="1:21" x14ac:dyDescent="0.25">
      <c r="S7" s="37">
        <v>6</v>
      </c>
      <c r="T7" s="37">
        <v>6</v>
      </c>
    </row>
    <row r="8" spans="1:21" x14ac:dyDescent="0.25">
      <c r="S8" s="37">
        <v>7</v>
      </c>
      <c r="T8" s="37">
        <v>7</v>
      </c>
    </row>
    <row r="9" spans="1:21" x14ac:dyDescent="0.25">
      <c r="S9" s="37">
        <v>8</v>
      </c>
      <c r="T9" s="37">
        <v>8</v>
      </c>
    </row>
    <row r="10" spans="1:21" x14ac:dyDescent="0.25">
      <c r="S10" s="37">
        <v>9</v>
      </c>
      <c r="T10" s="37">
        <v>9</v>
      </c>
    </row>
    <row r="11" spans="1:21" x14ac:dyDescent="0.25">
      <c r="S11" s="37">
        <v>10</v>
      </c>
      <c r="T11" s="37">
        <v>10</v>
      </c>
    </row>
    <row r="12" spans="1:21" x14ac:dyDescent="0.25">
      <c r="S12" s="37">
        <v>11</v>
      </c>
      <c r="T12" s="37">
        <v>11</v>
      </c>
    </row>
    <row r="13" spans="1:21" x14ac:dyDescent="0.25">
      <c r="S13" s="37">
        <v>12</v>
      </c>
      <c r="T13" s="37">
        <v>12</v>
      </c>
    </row>
    <row r="14" spans="1:21" x14ac:dyDescent="0.25">
      <c r="S14" s="37">
        <v>13</v>
      </c>
    </row>
    <row r="15" spans="1:21" x14ac:dyDescent="0.25">
      <c r="S15" s="37">
        <v>14</v>
      </c>
    </row>
    <row r="16" spans="1:21" x14ac:dyDescent="0.25">
      <c r="S16" s="37">
        <v>15</v>
      </c>
    </row>
    <row r="17" spans="19:19" x14ac:dyDescent="0.25">
      <c r="S17" s="37">
        <v>16</v>
      </c>
    </row>
    <row r="18" spans="19:19" x14ac:dyDescent="0.25">
      <c r="S18" s="37">
        <v>17</v>
      </c>
    </row>
    <row r="19" spans="19:19" x14ac:dyDescent="0.25">
      <c r="S19" s="37">
        <v>18</v>
      </c>
    </row>
    <row r="20" spans="19:19" x14ac:dyDescent="0.25">
      <c r="S20" s="37">
        <v>19</v>
      </c>
    </row>
    <row r="21" spans="19:19" x14ac:dyDescent="0.25">
      <c r="S21" s="37">
        <v>20</v>
      </c>
    </row>
    <row r="22" spans="19:19" x14ac:dyDescent="0.25">
      <c r="S22" s="37">
        <v>21</v>
      </c>
    </row>
    <row r="23" spans="19:19" x14ac:dyDescent="0.25">
      <c r="S23" s="37">
        <v>22</v>
      </c>
    </row>
    <row r="24" spans="19:19" x14ac:dyDescent="0.25">
      <c r="S24" s="37">
        <v>23</v>
      </c>
    </row>
    <row r="25" spans="19:19" x14ac:dyDescent="0.25">
      <c r="S25" s="37">
        <v>24</v>
      </c>
    </row>
    <row r="26" spans="19:19" x14ac:dyDescent="0.25">
      <c r="S26" s="37">
        <v>25</v>
      </c>
    </row>
    <row r="27" spans="19:19" x14ac:dyDescent="0.25">
      <c r="S27" s="37">
        <v>26</v>
      </c>
    </row>
    <row r="28" spans="19:19" x14ac:dyDescent="0.25">
      <c r="S28" s="37">
        <v>27</v>
      </c>
    </row>
    <row r="29" spans="19:19" x14ac:dyDescent="0.25">
      <c r="S29" s="37">
        <v>28</v>
      </c>
    </row>
    <row r="30" spans="19:19" x14ac:dyDescent="0.25">
      <c r="S30" s="37">
        <v>29</v>
      </c>
    </row>
    <row r="31" spans="19:19" x14ac:dyDescent="0.25">
      <c r="S31" s="37">
        <v>30</v>
      </c>
    </row>
    <row r="32" spans="19:19" x14ac:dyDescent="0.25">
      <c r="S32" s="37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5" priority="4" operator="equal">
      <formula>"✓"</formula>
    </cfRule>
  </conditionalFormatting>
  <conditionalFormatting sqref="E3:G3">
    <cfRule type="cellIs" dxfId="14" priority="2" operator="equal">
      <formula>"✓"</formula>
    </cfRule>
  </conditionalFormatting>
  <conditionalFormatting sqref="E4:G4">
    <cfRule type="cellIs" dxfId="13" priority="1" operator="equal">
      <formula>"✓"</formula>
    </cfRule>
  </conditionalFormatting>
  <dataValidations count="4">
    <dataValidation type="list" allowBlank="1" showInputMessage="1" showErrorMessage="1" sqref="I3 C3:C4">
      <formula1>$T$2:$T$13</formula1>
    </dataValidation>
    <dataValidation type="list" allowBlank="1" showInputMessage="1" showErrorMessage="1" sqref="H3 B3:B4">
      <formula1>$S$2:$S$32</formula1>
    </dataValidation>
    <dataValidation type="list" allowBlank="1" showInputMessage="1" showErrorMessage="1" sqref="J3 D3:D4">
      <formula1>$U$2</formula1>
    </dataValidation>
    <dataValidation type="list" allowBlank="1" showInputMessage="1" showErrorMessage="1" sqref="E3:G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K3:M3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9"/>
  <sheetViews>
    <sheetView workbookViewId="0">
      <selection activeCell="K2" sqref="K2"/>
    </sheetView>
  </sheetViews>
  <sheetFormatPr defaultRowHeight="15" x14ac:dyDescent="0.25"/>
  <cols>
    <col min="1" max="1" width="17.5703125" style="13" bestFit="1" customWidth="1"/>
    <col min="2" max="2" width="17.28515625" style="39" bestFit="1" customWidth="1"/>
    <col min="3" max="3" width="18.5703125" style="35" customWidth="1"/>
    <col min="4" max="6" width="8.7109375" style="32"/>
    <col min="11" max="11" width="11.42578125" style="42" bestFit="1" customWidth="1"/>
    <col min="12" max="12" width="10.5703125" style="42" customWidth="1"/>
  </cols>
  <sheetData>
    <row r="1" spans="1:12" ht="14.45" customHeight="1" x14ac:dyDescent="0.25">
      <c r="A1" s="43" t="s">
        <v>53</v>
      </c>
      <c r="B1" s="44" t="s">
        <v>52</v>
      </c>
      <c r="C1" s="34" t="s">
        <v>39</v>
      </c>
      <c r="D1" s="41" t="s">
        <v>2</v>
      </c>
      <c r="E1" s="41" t="s">
        <v>3</v>
      </c>
      <c r="F1" s="41" t="s">
        <v>4</v>
      </c>
      <c r="K1" s="34" t="s">
        <v>42</v>
      </c>
      <c r="L1" s="34" t="s">
        <v>54</v>
      </c>
    </row>
    <row r="2" spans="1:12" x14ac:dyDescent="0.25">
      <c r="A2" s="13">
        <v>5</v>
      </c>
      <c r="B2" s="39" t="str">
        <f>_xlfn.IFNA(VLOOKUP(A2,'Boarder-List'!$A:$B,2,0), "")</f>
        <v>E</v>
      </c>
      <c r="C2" s="35" t="s">
        <v>51</v>
      </c>
      <c r="D2" s="32" t="s">
        <v>32</v>
      </c>
      <c r="E2" s="32" t="s">
        <v>32</v>
      </c>
      <c r="F2" s="32" t="s">
        <v>14</v>
      </c>
      <c r="K2" s="37" t="s">
        <v>51</v>
      </c>
      <c r="L2" s="37">
        <v>1</v>
      </c>
    </row>
    <row r="3" spans="1:12" x14ac:dyDescent="0.25">
      <c r="A3" s="13">
        <v>7</v>
      </c>
      <c r="B3" s="39" t="str">
        <f>_xlfn.IFNA(VLOOKUP(A3,'Boarder-List'!$A:$B,2,0), "")</f>
        <v>Surja Sanyal</v>
      </c>
      <c r="C3" s="35" t="s">
        <v>46</v>
      </c>
      <c r="D3" s="32" t="s">
        <v>32</v>
      </c>
      <c r="E3" s="32" t="s">
        <v>14</v>
      </c>
      <c r="F3" s="32" t="s">
        <v>14</v>
      </c>
      <c r="K3" s="37" t="s">
        <v>45</v>
      </c>
      <c r="L3" s="37">
        <v>2</v>
      </c>
    </row>
    <row r="4" spans="1:12" x14ac:dyDescent="0.25">
      <c r="B4" s="39" t="str">
        <f>_xlfn.IFNA(VLOOKUP(A4,'Boarder-List'!$A:$B,2,0), "")</f>
        <v/>
      </c>
      <c r="K4" s="37" t="s">
        <v>46</v>
      </c>
      <c r="L4" s="37">
        <v>3</v>
      </c>
    </row>
    <row r="5" spans="1:12" x14ac:dyDescent="0.25">
      <c r="B5" s="39" t="str">
        <f>_xlfn.IFNA(VLOOKUP(A5,'Boarder-List'!$A:$B,2,0), "")</f>
        <v/>
      </c>
      <c r="K5" s="37" t="s">
        <v>47</v>
      </c>
      <c r="L5" s="37">
        <v>4</v>
      </c>
    </row>
    <row r="6" spans="1:12" x14ac:dyDescent="0.25">
      <c r="B6" s="39" t="str">
        <f>_xlfn.IFNA(VLOOKUP(A6,'Boarder-List'!$A:$B,2,0), "")</f>
        <v/>
      </c>
      <c r="K6" s="37" t="s">
        <v>48</v>
      </c>
      <c r="L6" s="37">
        <v>5</v>
      </c>
    </row>
    <row r="7" spans="1:12" x14ac:dyDescent="0.25">
      <c r="B7" s="39" t="str">
        <f>_xlfn.IFNA(VLOOKUP(A7,'Boarder-List'!$A:$B,2,0), "")</f>
        <v/>
      </c>
      <c r="K7" s="37" t="s">
        <v>49</v>
      </c>
      <c r="L7" s="37">
        <v>6</v>
      </c>
    </row>
    <row r="8" spans="1:12" x14ac:dyDescent="0.25">
      <c r="B8" s="39" t="str">
        <f>_xlfn.IFNA(VLOOKUP(A8,'Boarder-List'!$A:$B,2,0), "")</f>
        <v/>
      </c>
      <c r="K8" s="37" t="s">
        <v>50</v>
      </c>
      <c r="L8" s="37">
        <v>7</v>
      </c>
    </row>
    <row r="9" spans="1:12" x14ac:dyDescent="0.25">
      <c r="B9" s="39" t="str">
        <f>_xlfn.IFNA(VLOOKUP(A9,'Boarder-List'!$A:$B,2,0), "")</f>
        <v/>
      </c>
      <c r="K9"/>
      <c r="L9"/>
    </row>
    <row r="10" spans="1:12" x14ac:dyDescent="0.25">
      <c r="B10" s="39" t="str">
        <f>_xlfn.IFNA(VLOOKUP(A10,'Boarder-List'!$A:$B,2,0), "")</f>
        <v/>
      </c>
    </row>
    <row r="11" spans="1:12" x14ac:dyDescent="0.25">
      <c r="B11" s="39" t="str">
        <f>_xlfn.IFNA(VLOOKUP(A11,'Boarder-List'!$A:$B,2,0), "")</f>
        <v/>
      </c>
    </row>
    <row r="12" spans="1:12" x14ac:dyDescent="0.25">
      <c r="B12" s="39" t="str">
        <f>_xlfn.IFNA(VLOOKUP(A12,'Boarder-List'!$A:$B,2,0), "")</f>
        <v/>
      </c>
    </row>
    <row r="13" spans="1:12" x14ac:dyDescent="0.25">
      <c r="B13" s="39" t="str">
        <f>_xlfn.IFNA(VLOOKUP(A13,'Boarder-List'!$A:$B,2,0), "")</f>
        <v/>
      </c>
    </row>
    <row r="14" spans="1:12" x14ac:dyDescent="0.25">
      <c r="B14" s="39" t="str">
        <f>_xlfn.IFNA(VLOOKUP(A14,'Boarder-List'!$A:$B,2,0), "")</f>
        <v/>
      </c>
    </row>
    <row r="15" spans="1:12" x14ac:dyDescent="0.25">
      <c r="B15" s="39" t="str">
        <f>_xlfn.IFNA(VLOOKUP(A15,'Boarder-List'!$A:$B,2,0), "")</f>
        <v/>
      </c>
    </row>
    <row r="16" spans="1:12" x14ac:dyDescent="0.25">
      <c r="B16" s="39" t="str">
        <f>_xlfn.IFNA(VLOOKUP(A16,'Boarder-List'!$A:$B,2,0), "")</f>
        <v/>
      </c>
    </row>
    <row r="17" spans="2:2" x14ac:dyDescent="0.25">
      <c r="B17" s="39" t="str">
        <f>_xlfn.IFNA(VLOOKUP(A17,'Boarder-List'!$A:$B,2,0), "")</f>
        <v/>
      </c>
    </row>
    <row r="18" spans="2:2" x14ac:dyDescent="0.25">
      <c r="B18" s="39" t="str">
        <f>_xlfn.IFNA(VLOOKUP(A18,'Boarder-List'!$A:$B,2,0), "")</f>
        <v/>
      </c>
    </row>
    <row r="19" spans="2:2" x14ac:dyDescent="0.25">
      <c r="B19" s="39" t="str">
        <f>_xlfn.IFNA(VLOOKUP(A19,'Boarder-List'!$A:$B,2,0), "")</f>
        <v/>
      </c>
    </row>
  </sheetData>
  <phoneticPr fontId="3" type="noConversion"/>
  <conditionalFormatting sqref="D1:F1048576">
    <cfRule type="cellIs" dxfId="12" priority="2" operator="equal">
      <formula>"✓"</formula>
    </cfRule>
  </conditionalFormatting>
  <dataValidations count="1">
    <dataValidation type="list" allowBlank="1" showInputMessage="1" showErrorMessage="1" sqref="C2:C3">
      <formula1>$K$2:$K$8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D2:F3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workbookViewId="0">
      <selection activeCell="F4" sqref="F4"/>
    </sheetView>
  </sheetViews>
  <sheetFormatPr defaultRowHeight="15" x14ac:dyDescent="0.25"/>
  <cols>
    <col min="1" max="1" width="22.85546875" style="13" customWidth="1"/>
    <col min="2" max="2" width="15.5703125" style="39" bestFit="1" customWidth="1"/>
    <col min="3" max="5" width="11.5703125" style="35" customWidth="1"/>
    <col min="6" max="8" width="9.140625" style="32"/>
    <col min="9" max="11" width="11.5703125" style="35" customWidth="1"/>
    <col min="12" max="14" width="9.140625" style="32"/>
    <col min="19" max="21" width="9.140625" style="37"/>
  </cols>
  <sheetData>
    <row r="1" spans="1:21" ht="18.75" customHeight="1" x14ac:dyDescent="0.25">
      <c r="A1" s="63" t="s">
        <v>44</v>
      </c>
      <c r="B1" s="61" t="s">
        <v>43</v>
      </c>
      <c r="C1" s="58" t="s">
        <v>37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S1" s="34" t="s">
        <v>42</v>
      </c>
      <c r="T1" s="34" t="s">
        <v>40</v>
      </c>
      <c r="U1" s="34" t="s">
        <v>41</v>
      </c>
    </row>
    <row r="2" spans="1:21" ht="18.75" customHeight="1" x14ac:dyDescent="0.25">
      <c r="A2" s="64"/>
      <c r="B2" s="62"/>
      <c r="C2" s="34" t="s">
        <v>39</v>
      </c>
      <c r="D2" s="34" t="s">
        <v>40</v>
      </c>
      <c r="E2" s="34" t="s">
        <v>41</v>
      </c>
      <c r="F2" s="38" t="s">
        <v>2</v>
      </c>
      <c r="G2" s="38" t="s">
        <v>3</v>
      </c>
      <c r="H2" s="38" t="s">
        <v>4</v>
      </c>
      <c r="I2" s="34" t="s">
        <v>39</v>
      </c>
      <c r="J2" s="34" t="s">
        <v>40</v>
      </c>
      <c r="K2" s="34" t="s">
        <v>41</v>
      </c>
      <c r="L2" s="38" t="s">
        <v>2</v>
      </c>
      <c r="M2" s="38" t="s">
        <v>3</v>
      </c>
      <c r="N2" s="38" t="s">
        <v>4</v>
      </c>
      <c r="S2" s="37">
        <v>1</v>
      </c>
      <c r="T2" s="37">
        <v>1</v>
      </c>
      <c r="U2" s="37">
        <v>2025</v>
      </c>
    </row>
    <row r="3" spans="1:21" x14ac:dyDescent="0.25">
      <c r="A3" s="13">
        <v>5</v>
      </c>
      <c r="B3" s="39" t="str">
        <f>_xlfn.IFNA(VLOOKUP(A3,'Boarder-List'!$A:$B,2,0), "")</f>
        <v>E</v>
      </c>
      <c r="C3" s="35">
        <v>2</v>
      </c>
      <c r="D3" s="35">
        <v>2</v>
      </c>
      <c r="E3" s="35">
        <v>2025</v>
      </c>
      <c r="F3" s="32" t="s">
        <v>32</v>
      </c>
      <c r="G3" s="32" t="s">
        <v>32</v>
      </c>
      <c r="H3" s="32" t="s">
        <v>14</v>
      </c>
      <c r="S3" s="37">
        <v>2</v>
      </c>
      <c r="T3" s="37">
        <v>2</v>
      </c>
      <c r="U3" s="37">
        <v>2026</v>
      </c>
    </row>
    <row r="4" spans="1:21" x14ac:dyDescent="0.25">
      <c r="A4" s="13">
        <v>7</v>
      </c>
      <c r="B4" s="39" t="str">
        <f>_xlfn.IFNA(VLOOKUP(A4,'Boarder-List'!$A:$B,2,0), "")</f>
        <v>Surja Sanyal</v>
      </c>
      <c r="C4" s="35">
        <v>1</v>
      </c>
      <c r="D4" s="35">
        <v>2</v>
      </c>
      <c r="E4" s="35">
        <v>2025</v>
      </c>
      <c r="F4" s="32" t="s">
        <v>32</v>
      </c>
      <c r="G4" s="32" t="s">
        <v>14</v>
      </c>
      <c r="H4" s="32" t="s">
        <v>14</v>
      </c>
      <c r="I4" s="35">
        <v>20</v>
      </c>
      <c r="J4" s="35">
        <v>2</v>
      </c>
      <c r="K4" s="35">
        <v>2025</v>
      </c>
      <c r="L4" s="32" t="s">
        <v>14</v>
      </c>
      <c r="M4" s="32" t="s">
        <v>14</v>
      </c>
      <c r="N4" s="32" t="s">
        <v>32</v>
      </c>
      <c r="S4" s="37">
        <v>3</v>
      </c>
      <c r="T4" s="37">
        <v>3</v>
      </c>
    </row>
    <row r="5" spans="1:21" x14ac:dyDescent="0.25">
      <c r="B5" s="39" t="str">
        <f>_xlfn.IFNA(VLOOKUP(A5,'Boarder-List'!$A:$B,2,0), "")</f>
        <v/>
      </c>
      <c r="S5" s="37">
        <v>4</v>
      </c>
      <c r="T5" s="37">
        <v>4</v>
      </c>
    </row>
    <row r="6" spans="1:21" x14ac:dyDescent="0.25">
      <c r="B6" s="39" t="str">
        <f>_xlfn.IFNA(VLOOKUP(A6,'Boarder-List'!$A:$B,2,0), "")</f>
        <v/>
      </c>
      <c r="S6" s="37">
        <v>5</v>
      </c>
      <c r="T6" s="37">
        <v>5</v>
      </c>
    </row>
    <row r="7" spans="1:21" x14ac:dyDescent="0.25">
      <c r="B7" s="39" t="str">
        <f>_xlfn.IFNA(VLOOKUP(A7,'Boarder-List'!$A:$B,2,0), "")</f>
        <v/>
      </c>
      <c r="S7" s="37">
        <v>6</v>
      </c>
      <c r="T7" s="37">
        <v>6</v>
      </c>
    </row>
    <row r="8" spans="1:21" x14ac:dyDescent="0.25">
      <c r="B8" s="39" t="str">
        <f>_xlfn.IFNA(VLOOKUP(A8,'Boarder-List'!$A:$B,2,0), "")</f>
        <v/>
      </c>
      <c r="S8" s="37">
        <v>7</v>
      </c>
      <c r="T8" s="37">
        <v>7</v>
      </c>
    </row>
    <row r="9" spans="1:21" x14ac:dyDescent="0.25">
      <c r="B9" s="39" t="str">
        <f>_xlfn.IFNA(VLOOKUP(A9,'Boarder-List'!$A:$B,2,0), "")</f>
        <v/>
      </c>
      <c r="S9" s="37">
        <v>8</v>
      </c>
      <c r="T9" s="37">
        <v>8</v>
      </c>
    </row>
    <row r="10" spans="1:21" x14ac:dyDescent="0.25">
      <c r="B10" s="39" t="str">
        <f>_xlfn.IFNA(VLOOKUP(A10,'Boarder-List'!$A:$B,2,0), "")</f>
        <v/>
      </c>
      <c r="S10" s="37">
        <v>9</v>
      </c>
      <c r="T10" s="37">
        <v>9</v>
      </c>
    </row>
    <row r="11" spans="1:21" x14ac:dyDescent="0.25">
      <c r="B11" s="39" t="str">
        <f>_xlfn.IFNA(VLOOKUP(A11,'Boarder-List'!$A:$B,2,0), "")</f>
        <v/>
      </c>
      <c r="S11" s="37">
        <v>10</v>
      </c>
      <c r="T11" s="37">
        <v>10</v>
      </c>
    </row>
    <row r="12" spans="1:21" x14ac:dyDescent="0.25">
      <c r="B12" s="39" t="str">
        <f>_xlfn.IFNA(VLOOKUP(A12,'Boarder-List'!$A:$B,2,0), "")</f>
        <v/>
      </c>
      <c r="S12" s="37">
        <v>11</v>
      </c>
      <c r="T12" s="37">
        <v>11</v>
      </c>
    </row>
    <row r="13" spans="1:21" x14ac:dyDescent="0.25">
      <c r="B13" s="39" t="str">
        <f>_xlfn.IFNA(VLOOKUP(A13,'Boarder-List'!$A:$B,2,0), "")</f>
        <v/>
      </c>
      <c r="S13" s="37">
        <v>12</v>
      </c>
      <c r="T13" s="37">
        <v>12</v>
      </c>
    </row>
    <row r="14" spans="1:21" x14ac:dyDescent="0.25">
      <c r="B14" s="39" t="str">
        <f>_xlfn.IFNA(VLOOKUP(A14,'Boarder-List'!$A:$B,2,0), "")</f>
        <v/>
      </c>
      <c r="S14" s="37">
        <v>13</v>
      </c>
    </row>
    <row r="15" spans="1:21" x14ac:dyDescent="0.25">
      <c r="B15" s="39" t="str">
        <f>_xlfn.IFNA(VLOOKUP(A15,'Boarder-List'!$A:$B,2,0), "")</f>
        <v/>
      </c>
      <c r="S15" s="37">
        <v>14</v>
      </c>
    </row>
    <row r="16" spans="1:21" x14ac:dyDescent="0.25">
      <c r="B16" s="39" t="str">
        <f>_xlfn.IFNA(VLOOKUP(A16,'Boarder-List'!$A:$B,2,0), "")</f>
        <v/>
      </c>
      <c r="S16" s="37">
        <v>15</v>
      </c>
    </row>
    <row r="17" spans="2:19" x14ac:dyDescent="0.25">
      <c r="B17" s="39" t="str">
        <f>_xlfn.IFNA(VLOOKUP(A17,'Boarder-List'!$A:$B,2,0), "")</f>
        <v/>
      </c>
      <c r="S17" s="37">
        <v>16</v>
      </c>
    </row>
    <row r="18" spans="2:19" x14ac:dyDescent="0.25">
      <c r="B18" s="39" t="str">
        <f>_xlfn.IFNA(VLOOKUP(A18,'Boarder-List'!$A:$B,2,0), "")</f>
        <v/>
      </c>
      <c r="S18" s="37">
        <v>17</v>
      </c>
    </row>
    <row r="19" spans="2:19" x14ac:dyDescent="0.25">
      <c r="B19" s="39" t="str">
        <f>_xlfn.IFNA(VLOOKUP(A19,'Boarder-List'!$A:$B,2,0), "")</f>
        <v/>
      </c>
      <c r="S19" s="37">
        <v>18</v>
      </c>
    </row>
    <row r="20" spans="2:19" x14ac:dyDescent="0.25">
      <c r="B20" s="39" t="str">
        <f>_xlfn.IFNA(VLOOKUP(A20,'Boarder-List'!$A:$B,2,0), "")</f>
        <v/>
      </c>
      <c r="S20" s="37">
        <v>19</v>
      </c>
    </row>
    <row r="21" spans="2:19" x14ac:dyDescent="0.25">
      <c r="S21" s="37">
        <v>20</v>
      </c>
    </row>
    <row r="22" spans="2:19" x14ac:dyDescent="0.25">
      <c r="S22" s="37">
        <v>21</v>
      </c>
    </row>
    <row r="23" spans="2:19" x14ac:dyDescent="0.25">
      <c r="S23" s="37">
        <v>22</v>
      </c>
    </row>
    <row r="24" spans="2:19" x14ac:dyDescent="0.25">
      <c r="S24" s="37">
        <v>23</v>
      </c>
    </row>
    <row r="25" spans="2:19" x14ac:dyDescent="0.25">
      <c r="S25" s="37">
        <v>24</v>
      </c>
    </row>
    <row r="26" spans="2:19" x14ac:dyDescent="0.25">
      <c r="S26" s="37">
        <v>25</v>
      </c>
    </row>
    <row r="27" spans="2:19" x14ac:dyDescent="0.25">
      <c r="S27" s="37">
        <v>26</v>
      </c>
    </row>
    <row r="28" spans="2:19" x14ac:dyDescent="0.25">
      <c r="S28" s="37">
        <v>27</v>
      </c>
    </row>
    <row r="29" spans="2:19" x14ac:dyDescent="0.25">
      <c r="S29" s="37">
        <v>28</v>
      </c>
    </row>
    <row r="30" spans="2:19" x14ac:dyDescent="0.25">
      <c r="S30" s="37">
        <v>29</v>
      </c>
    </row>
    <row r="31" spans="2:19" x14ac:dyDescent="0.25">
      <c r="S31" s="37">
        <v>30</v>
      </c>
    </row>
    <row r="32" spans="2:19" x14ac:dyDescent="0.25">
      <c r="S32" s="37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4">
    <dataValidation type="list" allowBlank="1" showInputMessage="1" showErrorMessage="1" sqref="C3:C4 I3:I4">
      <formula1>$S$2:$S$32</formula1>
    </dataValidation>
    <dataValidation type="list" allowBlank="1" showInputMessage="1" showErrorMessage="1" sqref="K3">
      <formula1>$U$2</formula1>
    </dataValidation>
    <dataValidation type="list" allowBlank="1" showInputMessage="1" showErrorMessage="1" sqref="D3:D4 J3:J4">
      <formula1>$T$2:$T$13</formula1>
    </dataValidation>
    <dataValidation type="list" allowBlank="1" showInputMessage="1" showErrorMessage="1" sqref="L3:N4 E3:E4 K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F3:H4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6"/>
  <sheetViews>
    <sheetView tabSelected="1" zoomScale="115" zoomScaleNormal="115" workbookViewId="0">
      <selection activeCell="O3" sqref="O3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26</v>
      </c>
      <c r="G1" s="46" t="s">
        <v>27</v>
      </c>
      <c r="H1" s="46" t="s">
        <v>28</v>
      </c>
      <c r="I1" s="46" t="s">
        <v>33</v>
      </c>
      <c r="J1" s="46" t="s">
        <v>29</v>
      </c>
      <c r="K1" s="46" t="s">
        <v>34</v>
      </c>
      <c r="L1" s="46" t="s">
        <v>30</v>
      </c>
      <c r="M1" s="56" t="s">
        <v>31</v>
      </c>
      <c r="N1" s="46" t="s">
        <v>17</v>
      </c>
      <c r="O1" s="46" t="s">
        <v>19</v>
      </c>
      <c r="R1" s="4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 cm="1">
        <f t="array" aca="1" ref="A2" ca="1">IF('Boarder-List'!A2&lt;&gt;0,'Boarder-List'!A2,CELL("contents",INDIRECT(ADDRESS(ROW()-1,COLUMN()))) + 1)</f>
        <v>1</v>
      </c>
      <c r="B2" s="30" t="str">
        <f ca="1">IF(VLOOKUP(A2,'Boarder-List'!$A:$B,2,0) = "", "**Unoccupied**", VLOOKUP(A2,'Boarder-List'!$A:$B,2,0))</f>
        <v>A</v>
      </c>
      <c r="C2" s="48" t="s">
        <v>32</v>
      </c>
      <c r="D2" s="48" t="s">
        <v>32</v>
      </c>
      <c r="E2" s="48" t="s">
        <v>32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2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INDEX($S:$S, N(IF(1, MATCH(INDIRECT(ADDRESS(1, 6)):INDIRECT(ADDRESS(1, COLUMN() - 1)),$R:$R,0)))))), "-")</f>
        <v>125</v>
      </c>
      <c r="O2" s="13">
        <f ca="1">SUM($N:$N)</f>
        <v>1262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 cm="1">
        <f t="array" aca="1" ref="A3" ca="1">IF('Boarder-List'!A3&lt;&gt;0,'Boarder-List'!A3,CELL("contents",INDIRECT(ADDRESS(ROW()-1,COLUMN()))) + 1)</f>
        <v>2</v>
      </c>
      <c r="B3" s="30" t="str">
        <f ca="1">IF(VLOOKUP(A3,'Boarder-List'!$A:$B,2,0) = "", "**Unoccupied**", VLOOKUP(A3,'Boarder-List'!$A:$B,2,0))</f>
        <v>B</v>
      </c>
      <c r="C3" s="48" t="s">
        <v>32</v>
      </c>
      <c r="D3" s="48" t="s">
        <v>32</v>
      </c>
      <c r="E3" s="48" t="s">
        <v>32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2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INDEX($S:$S, N(IF(1, MATCH(INDIRECT(ADDRESS(1, 6)):INDIRECT(ADDRESS(1, COLUMN() - 1)),$R:$R,0)))))), "-")</f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 cm="1">
        <f t="array" aca="1" ref="A4" ca="1">IF('Boarder-List'!A4&lt;&gt;0,'Boarder-List'!A4,CELL("contents",INDIRECT(ADDRESS(ROW()-1,COLUMN()))) + 1)</f>
        <v>3</v>
      </c>
      <c r="B4" s="30" t="str">
        <f ca="1">IF(VLOOKUP(A4,'Boarder-List'!$A:$B,2,0) = "", "**Unoccupied**", VLOOKUP(A4,'Boarder-List'!$A:$B,2,0))</f>
        <v>C</v>
      </c>
      <c r="C4" s="48" t="s">
        <v>32</v>
      </c>
      <c r="D4" s="48" t="s">
        <v>32</v>
      </c>
      <c r="E4" s="48" t="s">
        <v>32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1</v>
      </c>
      <c r="N4" s="12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INDEX($S:$S, N(IF(1, MATCH(INDIRECT(ADDRESS(1, 6)):INDIRECT(ADDRESS(1, COLUMN() - 1)),$R:$R,0)))))), "-")</f>
        <v>137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 cm="1">
        <f t="array" aca="1" ref="A5" ca="1">IF('Boarder-List'!A5&lt;&gt;0,'Boarder-List'!A5,CELL("contents",INDIRECT(ADDRESS(ROW()-1,COLUMN()))) + 1)</f>
        <v>4</v>
      </c>
      <c r="B5" s="30" t="str">
        <f ca="1">IF(VLOOKUP(A5,'Boarder-List'!$A:$B,2,0) = "", "**Unoccupied**", VLOOKUP(A5,'Boarder-List'!$A:$B,2,0))</f>
        <v>D</v>
      </c>
      <c r="C5" s="48" t="s">
        <v>32</v>
      </c>
      <c r="D5" s="48" t="s">
        <v>32</v>
      </c>
      <c r="E5" s="48" t="s">
        <v>32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2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INDEX($S:$S, N(IF(1, MATCH(INDIRECT(ADDRESS(1, 6)):INDIRECT(ADDRESS(1, COLUMN() - 1)),$R:$R,0)))))), "-")</f>
        <v>125</v>
      </c>
      <c r="R5" s="30" t="s">
        <v>33</v>
      </c>
      <c r="S5" s="30">
        <v>12</v>
      </c>
    </row>
    <row r="6" spans="1:23" ht="32.25" customHeight="1" x14ac:dyDescent="0.25">
      <c r="A6" s="30" cm="1">
        <f t="array" aca="1" ref="A6" ca="1">IF('Boarder-List'!A6&lt;&gt;0,'Boarder-List'!A6,CELL("contents",INDIRECT(ADDRESS(ROW()-1,COLUMN()))) + 1)</f>
        <v>5</v>
      </c>
      <c r="B6" s="30" t="str">
        <f ca="1">IF(VLOOKUP(A6,'Boarder-List'!$A:$B,2,0) = "", "**Unoccupied**", VLOOKUP(A6,'Boarder-List'!$A:$B,2,0))</f>
        <v>E</v>
      </c>
      <c r="C6" s="48" t="s">
        <v>32</v>
      </c>
      <c r="D6" s="48" t="s">
        <v>32</v>
      </c>
      <c r="E6" s="48" t="s">
        <v>32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2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INDEX($S:$S, N(IF(1, MATCH(INDIRECT(ADDRESS(1, 6)):INDIRECT(ADDRESS(1, COLUMN() - 1)),$R:$R,0)))))), "-")</f>
        <v>125</v>
      </c>
      <c r="R6" s="30" t="s">
        <v>34</v>
      </c>
      <c r="S6" s="30">
        <v>25</v>
      </c>
    </row>
    <row r="7" spans="1:23" ht="32.25" customHeight="1" x14ac:dyDescent="0.25">
      <c r="A7" s="30" cm="1">
        <f t="array" aca="1" ref="A7" ca="1">IF('Boarder-List'!A7&lt;&gt;0,'Boarder-List'!A7,CELL("contents",INDIRECT(ADDRESS(ROW()-1,COLUMN()))) + 1)</f>
        <v>6</v>
      </c>
      <c r="B7" s="30" t="str">
        <f ca="1">IF(VLOOKUP(A7,'Boarder-List'!$A:$B,2,0) = "", "**Unoccupied**", VLOOKUP(A7,'Boarder-List'!$A:$B,2,0))</f>
        <v>F</v>
      </c>
      <c r="C7" s="48" t="s">
        <v>32</v>
      </c>
      <c r="D7" s="48" t="s">
        <v>32</v>
      </c>
      <c r="E7" s="48" t="s">
        <v>32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2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INDEX($S:$S, N(IF(1, MATCH(INDIRECT(ADDRESS(1, 6)):INDIRECT(ADDRESS(1, COLUMN() - 1)),$R:$R,0)))))), "-")</f>
        <v>125</v>
      </c>
      <c r="R7" s="30" t="s">
        <v>29</v>
      </c>
      <c r="S7" s="30">
        <v>10</v>
      </c>
    </row>
    <row r="8" spans="1:23" ht="32.25" customHeight="1" x14ac:dyDescent="0.25">
      <c r="A8" s="30" cm="1">
        <f t="array" aca="1" ref="A8" ca="1">IF('Boarder-List'!A8&lt;&gt;0,'Boarder-List'!A8,CELL("contents",INDIRECT(ADDRESS(ROW()-1,COLUMN()))) + 1)</f>
        <v>7</v>
      </c>
      <c r="B8" s="30" t="str">
        <f ca="1">IF(VLOOKUP(A8,'Boarder-List'!$A:$B,2,0) = "", "**Unoccupied**", VLOOKUP(A8,'Boarder-List'!$A:$B,2,0))</f>
        <v>Surja Sanyal</v>
      </c>
      <c r="C8" s="48" t="s">
        <v>32</v>
      </c>
      <c r="D8" s="48" t="s">
        <v>32</v>
      </c>
      <c r="E8" s="48" t="s">
        <v>32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2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INDEX($S:$S, N(IF(1, MATCH(INDIRECT(ADDRESS(1, 6)):INDIRECT(ADDRESS(1, COLUMN() - 1)),$R:$R,0)))))), "-")</f>
        <v>125</v>
      </c>
      <c r="R8" s="30" t="s">
        <v>30</v>
      </c>
      <c r="S8" s="30">
        <v>15</v>
      </c>
    </row>
    <row r="9" spans="1:23" ht="32.25" customHeight="1" x14ac:dyDescent="0.25">
      <c r="A9" s="30" cm="1">
        <f t="array" aca="1" ref="A9" ca="1">IF('Boarder-List'!A9&lt;&gt;0,'Boarder-List'!A9,CELL("contents",INDIRECT(ADDRESS(ROW()-1,COLUMN()))) + 1)</f>
        <v>8</v>
      </c>
      <c r="B9" s="30" t="str">
        <f ca="1">IF(VLOOKUP(A9,'Boarder-List'!$A:$B,2,0) = "", "**Unoccupied**", VLOOKUP(A9,'Boarder-List'!$A:$B,2,0))</f>
        <v>G</v>
      </c>
      <c r="C9" s="48" t="s">
        <v>32</v>
      </c>
      <c r="D9" s="48" t="s">
        <v>32</v>
      </c>
      <c r="E9" s="48" t="s">
        <v>32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2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INDEX($S:$S, N(IF(1, MATCH(INDIRECT(ADDRESS(1, 6)):INDIRECT(ADDRESS(1, COLUMN() - 1)),$R:$R,0)))))), "-")</f>
        <v>125</v>
      </c>
      <c r="R9" s="30" t="s">
        <v>31</v>
      </c>
      <c r="S9" s="30">
        <v>12</v>
      </c>
    </row>
    <row r="10" spans="1:23" ht="32.25" customHeight="1" x14ac:dyDescent="0.25">
      <c r="A10" s="30" cm="1">
        <f t="array" aca="1" ref="A10" ca="1">IF('Boarder-List'!A10&lt;&gt;0,'Boarder-List'!A10,CELL("contents",INDIRECT(ADDRESS(ROW()-1,COLUMN()))) + 1)</f>
        <v>9</v>
      </c>
      <c r="B10" s="30" t="str">
        <f ca="1">IF(VLOOKUP(A10,'Boarder-List'!$A:$B,2,0) = "", "**Unoccupied**", VLOOKUP(A10,'Boarder-List'!$A:$B,2,0))</f>
        <v>H</v>
      </c>
      <c r="C10" s="48" t="s">
        <v>32</v>
      </c>
      <c r="D10" s="48" t="s">
        <v>32</v>
      </c>
      <c r="E10" s="48" t="s">
        <v>32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2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1" spans="1:23" ht="32.25" customHeight="1" x14ac:dyDescent="0.25">
      <c r="A11" s="30" cm="1">
        <f t="array" aca="1" ref="A11" ca="1">IF('Boarder-List'!A11&lt;&gt;0,'Boarder-List'!A11,CELL("contents",INDIRECT(ADDRESS(ROW()-1,COLUMN()))) + 1)</f>
        <v>10</v>
      </c>
      <c r="B11" s="30" t="str">
        <f ca="1">IF(VLOOKUP(A11,'Boarder-List'!$A:$B,2,0) = "", "**Unoccupied**", VLOOKUP(A11,'Boarder-List'!$A:$B,2,0))</f>
        <v>I</v>
      </c>
      <c r="C11" s="48" t="s">
        <v>32</v>
      </c>
      <c r="D11" s="48" t="s">
        <v>32</v>
      </c>
      <c r="E11" s="48" t="s">
        <v>32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2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2" spans="1:23" ht="32.25" customHeight="1" x14ac:dyDescent="0.25">
      <c r="A12" s="30" cm="1">
        <f t="array" aca="1" ref="A12" ca="1">IF('Boarder-List'!A12&lt;&gt;0,'Boarder-List'!A12,CELL("contents",INDIRECT(ADDRESS(ROW()-1,COLUMN()))) + 1)</f>
        <v>11</v>
      </c>
      <c r="B12" s="30" t="str">
        <f ca="1">IF(VLOOKUP(A12,'Boarder-List'!$A:$B,2,0) = "", "**Unoccupied**", VLOOKUP(A12,'Boarder-List'!$A:$B,2,0))</f>
        <v>**Unoccupied**</v>
      </c>
      <c r="F12" s="12"/>
      <c r="G12" s="12"/>
      <c r="H12" s="12"/>
      <c r="I12" s="12"/>
      <c r="J12" s="12"/>
      <c r="K12" s="12"/>
      <c r="L12" s="12"/>
      <c r="M12" s="12"/>
      <c r="N12" s="12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23" ht="32.25" customHeight="1" x14ac:dyDescent="0.25">
      <c r="A13" s="30" cm="1">
        <f t="array" aca="1" ref="A13" ca="1">IF('Boarder-List'!A13&lt;&gt;0,'Boarder-List'!A13,CELL("contents",INDIRECT(ADDRESS(ROW()-1,COLUMN()))) + 1)</f>
        <v>12</v>
      </c>
      <c r="B13" s="30" t="str">
        <f ca="1">IF(VLOOKUP(A13,'Boarder-List'!$A:$B,2,0) = "", "**Unoccupied**", VLOOKUP(A13,'Boarder-List'!$A:$B,2,0))</f>
        <v>**Unoccupied**</v>
      </c>
      <c r="F13" s="12"/>
      <c r="G13" s="12"/>
      <c r="H13" s="12"/>
      <c r="I13" s="12"/>
      <c r="J13" s="12"/>
      <c r="K13" s="12"/>
      <c r="L13" s="12"/>
      <c r="M13" s="12"/>
      <c r="N13" s="12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23" ht="32.25" customHeight="1" x14ac:dyDescent="0.25">
      <c r="A14" s="30" cm="1">
        <f t="array" aca="1" ref="A14" ca="1">IF('Boarder-List'!A14&lt;&gt;0,'Boarder-List'!A14,CELL("contents",INDIRECT(ADDRESS(ROW()-1,COLUMN()))) + 1)</f>
        <v>13</v>
      </c>
      <c r="B14" s="30" t="str">
        <f ca="1">IF(VLOOKUP(A14,'Boarder-List'!$A:$B,2,0) = "", "**Unoccupied**", VLOOKUP(A14,'Boarder-List'!$A:$B,2,0))</f>
        <v>**Unoccupied**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 cm="1">
        <f t="array" aca="1" ref="A15" ca="1">IF('Boarder-List'!A15&lt;&gt;0,'Boarder-List'!A15,CELL("contents",INDIRECT(ADDRESS(ROW()-1,COLUMN()))) + 1)</f>
        <v>14</v>
      </c>
      <c r="B15" s="30" t="str">
        <f ca="1">IF(VLOOKUP(A15,'Boarder-List'!$A:$B,2,0) = "", "**Unoccupied**", VLOOKUP(A15,'Boarder-List'!$A:$B,2,0))</f>
        <v>**Unoccupied**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 cm="1">
        <f t="array" aca="1" ref="A16" ca="1">IF('Boarder-List'!A16&lt;&gt;0,'Boarder-List'!A16,CELL("contents",INDIRECT(ADDRESS(ROW()-1,COLUMN()))) + 1)</f>
        <v>15</v>
      </c>
      <c r="B16" s="30" t="str">
        <f ca="1">IF(VLOOKUP(A16,'Boarder-List'!$A:$B,2,0) = "", "**Unoccupied**", VLOOKUP(A16,'Boarder-List'!$A:$B,2,0))</f>
        <v>**Unoccupied**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J2:J11">
    <cfRule type="cellIs" dxfId="4" priority="28" stopIfTrue="1" operator="greaterThan">
      <formula>0</formula>
    </cfRule>
  </conditionalFormatting>
  <conditionalFormatting sqref="I2:I11">
    <cfRule type="cellIs" dxfId="3" priority="26" stopIfTrue="1" operator="greaterThan">
      <formula>0</formula>
    </cfRule>
  </conditionalFormatting>
  <conditionalFormatting sqref="K2:K11">
    <cfRule type="cellIs" dxfId="2" priority="31" stopIfTrue="1" operator="greaterThan">
      <formula>0</formula>
    </cfRule>
  </conditionalFormatting>
  <conditionalFormatting sqref="L2:L11">
    <cfRule type="cellIs" dxfId="1" priority="32" stopIfTrue="1" operator="greaterThan">
      <formula>0</formula>
    </cfRule>
  </conditionalFormatting>
  <conditionalFormatting sqref="M2:M11">
    <cfRule type="cellIs" dxfId="0" priority="33" stopIfTrue="1" operator="greaterThan">
      <formula>0</formula>
    </cfRule>
  </conditionalFormatting>
  <dataValidations count="1">
    <dataValidation type="list" allowBlank="1" showInputMessage="1" showErrorMessage="1" sqref="C2:E16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45" name="Spinner 3497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46" name="Spinner 3498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47" name="Spinner 3499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48" name="Spinner 3500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49" name="Spinner 3501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50" name="Spinner 3502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51" name="Spinner 3503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52" name="Spinner 3504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53" name="Spinner 3505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54" name="Spinner 3506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9" r:id="rId55" name="Spinner 3529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0" r:id="rId56" name="Spinner 3530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1" r:id="rId57" name="Spinner 3531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2" r:id="rId58" name="Spinner 3532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3" r:id="rId59" name="Spinner 3533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4" r:id="rId60" name="Spinner 3534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5" r:id="rId61" name="Spinner 3535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6" r:id="rId62" name="Spinner 3536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7" r:id="rId63" name="Spinner 3537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8" r:id="rId64" name="Spinner 3538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0" r:id="rId65" name="Spinner 3540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1" r:id="rId66" name="Spinner 3541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2" r:id="rId67" name="Spinner 3542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3" r:id="rId68" name="Spinner 3543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4" r:id="rId69" name="Spinner 3544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5" r:id="rId70" name="Spinner 3545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6" r:id="rId71" name="Spinner 3546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7" r:id="rId72" name="Spinner 3547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8" r:id="rId73" name="Spinner 3548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9" r:id="rId74" name="Spinner 3549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0" r:id="rId75" name="Spinner 3550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1" r:id="rId76" name="Spinner 3551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2" r:id="rId77" name="Spinner 3552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3" r:id="rId78" name="Spinner 3553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4" r:id="rId79" name="Spinner 3554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5" r:id="rId80" name="Spinner 3555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6" r:id="rId81" name="Spinner 3556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7" r:id="rId82" name="Spinner 3557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8" r:id="rId83" name="Spinner 3558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9" r:id="rId84" name="Spinner 3559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6"/>
  <sheetViews>
    <sheetView workbookViewId="0">
      <selection sqref="A1:XFD1048576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26</v>
      </c>
      <c r="G1" s="56" t="s">
        <v>27</v>
      </c>
      <c r="H1" s="56" t="s">
        <v>28</v>
      </c>
      <c r="I1" s="56" t="s">
        <v>33</v>
      </c>
      <c r="J1" s="56" t="s">
        <v>29</v>
      </c>
      <c r="K1" s="56" t="s">
        <v>31</v>
      </c>
      <c r="L1" s="56" t="s">
        <v>34</v>
      </c>
      <c r="M1" s="56" t="s">
        <v>30</v>
      </c>
      <c r="N1" s="56" t="s">
        <v>17</v>
      </c>
      <c r="O1" s="56" t="s">
        <v>19</v>
      </c>
      <c r="R1" s="5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1410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D8" s="48" t="s">
        <v>32</v>
      </c>
      <c r="F8" s="11"/>
      <c r="G8" s="11">
        <v>2</v>
      </c>
      <c r="H8" s="11"/>
      <c r="I8" s="11"/>
      <c r="J8" s="11"/>
      <c r="K8" s="11"/>
      <c r="L8" s="11">
        <v>2</v>
      </c>
      <c r="M8" s="11"/>
      <c r="N8" s="12">
        <v>285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6"/>
  <sheetViews>
    <sheetView workbookViewId="0">
      <selection sqref="A1:XFD1048576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26</v>
      </c>
      <c r="G1" s="55" t="s">
        <v>27</v>
      </c>
      <c r="H1" s="55" t="s">
        <v>28</v>
      </c>
      <c r="I1" s="55" t="s">
        <v>33</v>
      </c>
      <c r="J1" s="55" t="s">
        <v>29</v>
      </c>
      <c r="K1" s="55" t="s">
        <v>31</v>
      </c>
      <c r="L1" s="55" t="s">
        <v>34</v>
      </c>
      <c r="M1" s="55" t="s">
        <v>30</v>
      </c>
      <c r="N1" s="55" t="s">
        <v>17</v>
      </c>
      <c r="O1" s="55" t="s">
        <v>19</v>
      </c>
      <c r="R1" s="5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1150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F8" s="11"/>
      <c r="G8" s="11"/>
      <c r="H8" s="11"/>
      <c r="I8" s="11"/>
      <c r="J8" s="11"/>
      <c r="K8" s="11"/>
      <c r="L8" s="11"/>
      <c r="M8" s="11"/>
      <c r="N8" s="12">
        <v>25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16"/>
  <sheetViews>
    <sheetView workbookViewId="0">
      <selection activeCell="R1" sqref="R1"/>
    </sheetView>
  </sheetViews>
  <sheetFormatPr defaultColWidth="9.140625" defaultRowHeight="15" x14ac:dyDescent="0.25"/>
  <cols>
    <col min="1" max="1" width="8.7109375" style="21" customWidth="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26</v>
      </c>
      <c r="G1" s="45" t="s">
        <v>27</v>
      </c>
      <c r="H1" s="45" t="s">
        <v>28</v>
      </c>
      <c r="I1" s="45" t="s">
        <v>33</v>
      </c>
      <c r="J1" s="45" t="s">
        <v>34</v>
      </c>
      <c r="K1" s="45" t="s">
        <v>29</v>
      </c>
      <c r="L1" s="45" t="s">
        <v>30</v>
      </c>
      <c r="M1" s="45" t="s">
        <v>31</v>
      </c>
      <c r="N1" s="45" t="s">
        <v>17</v>
      </c>
      <c r="O1" s="45" t="s">
        <v>19</v>
      </c>
      <c r="R1" s="4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1050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/>
      <c r="D6" s="9"/>
      <c r="E6" s="9"/>
      <c r="F6" s="11"/>
      <c r="G6" s="11"/>
      <c r="H6" s="11"/>
      <c r="I6" s="11"/>
      <c r="J6" s="11"/>
      <c r="K6" s="11"/>
      <c r="L6" s="11"/>
      <c r="M6" s="11"/>
      <c r="N6" s="12">
        <v>0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/>
      <c r="D8" s="9"/>
      <c r="E8" s="9"/>
      <c r="F8" s="11"/>
      <c r="G8" s="11"/>
      <c r="H8" s="11">
        <v>1</v>
      </c>
      <c r="I8" s="11"/>
      <c r="J8" s="11"/>
      <c r="K8" s="11"/>
      <c r="L8" s="11"/>
      <c r="M8" s="11"/>
      <c r="N8" s="12">
        <v>50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6"/>
  <sheetViews>
    <sheetView workbookViewId="0">
      <selection activeCell="K13" sqref="K13"/>
    </sheetView>
  </sheetViews>
  <sheetFormatPr defaultColWidth="9.140625" defaultRowHeight="15" x14ac:dyDescent="0.25"/>
  <cols>
    <col min="1" max="1" width="8.7109375" style="21" customWidth="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26</v>
      </c>
      <c r="G1" s="41" t="s">
        <v>27</v>
      </c>
      <c r="H1" s="41" t="s">
        <v>28</v>
      </c>
      <c r="I1" s="41" t="s">
        <v>33</v>
      </c>
      <c r="J1" s="41" t="s">
        <v>34</v>
      </c>
      <c r="K1" s="41" t="s">
        <v>29</v>
      </c>
      <c r="L1" s="41" t="s">
        <v>30</v>
      </c>
      <c r="M1" s="41" t="s">
        <v>31</v>
      </c>
      <c r="N1" s="41" t="s">
        <v>17</v>
      </c>
      <c r="O1" s="41" t="s">
        <v>19</v>
      </c>
      <c r="R1" s="41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1075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 t="s">
        <v>32</v>
      </c>
      <c r="D6" s="9" t="s">
        <v>32</v>
      </c>
      <c r="E6" s="9"/>
      <c r="F6" s="11"/>
      <c r="G6" s="11"/>
      <c r="H6" s="11"/>
      <c r="I6" s="11"/>
      <c r="J6" s="11"/>
      <c r="K6" s="11"/>
      <c r="L6" s="11"/>
      <c r="M6" s="11"/>
      <c r="N6" s="12">
        <v>75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/>
      <c r="D8" s="9"/>
      <c r="E8" s="9"/>
      <c r="F8" s="11"/>
      <c r="G8" s="11"/>
      <c r="H8" s="11"/>
      <c r="I8" s="11"/>
      <c r="J8" s="11"/>
      <c r="K8" s="11"/>
      <c r="L8" s="11"/>
      <c r="M8" s="11"/>
      <c r="N8" s="12">
        <v>0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16"/>
  <sheetViews>
    <sheetView workbookViewId="0">
      <selection activeCell="C8" sqref="C8"/>
    </sheetView>
  </sheetViews>
  <sheetFormatPr defaultColWidth="9.140625" defaultRowHeight="15" x14ac:dyDescent="0.25"/>
  <cols>
    <col min="1" max="1" width="9.140625" style="2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</v>
      </c>
      <c r="G1" s="40" t="s">
        <v>27</v>
      </c>
      <c r="H1" s="40" t="s">
        <v>28</v>
      </c>
      <c r="I1" s="40" t="s">
        <v>33</v>
      </c>
      <c r="J1" s="40" t="s">
        <v>34</v>
      </c>
      <c r="K1" s="40" t="s">
        <v>29</v>
      </c>
      <c r="L1" s="40" t="s">
        <v>30</v>
      </c>
      <c r="M1" s="40" t="s">
        <v>31</v>
      </c>
      <c r="N1" s="40" t="s">
        <v>17</v>
      </c>
      <c r="O1" s="40" t="s">
        <v>19</v>
      </c>
      <c r="R1" s="40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1390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 t="s">
        <v>32</v>
      </c>
      <c r="D6" s="9" t="s">
        <v>32</v>
      </c>
      <c r="E6" s="9" t="s">
        <v>32</v>
      </c>
      <c r="F6" s="11">
        <v>2</v>
      </c>
      <c r="G6" s="11"/>
      <c r="H6" s="11"/>
      <c r="I6" s="11"/>
      <c r="J6" s="11"/>
      <c r="K6" s="11"/>
      <c r="L6" s="11"/>
      <c r="M6" s="11"/>
      <c r="N6" s="12">
        <v>265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 t="s">
        <v>32</v>
      </c>
      <c r="D8" s="9" t="s">
        <v>32</v>
      </c>
      <c r="E8" s="9" t="s">
        <v>32</v>
      </c>
      <c r="F8" s="11"/>
      <c r="G8" s="11"/>
      <c r="H8" s="11"/>
      <c r="I8" s="11"/>
      <c r="J8" s="11"/>
      <c r="K8" s="11"/>
      <c r="L8" s="11"/>
      <c r="M8" s="11"/>
      <c r="N8" s="12">
        <v>125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Room_7_Bill_26-02-25</vt:lpstr>
      <vt:lpstr>Boarder-List</vt:lpstr>
      <vt:lpstr>BoarderDateWise-Sales</vt:lpstr>
      <vt:lpstr>Boarder-Sales</vt:lpstr>
      <vt:lpstr>Mess-Offs</vt:lpstr>
      <vt:lpstr>Recurring-Leaves</vt:lpstr>
      <vt:lpstr>Leave-Register</vt:lpstr>
      <vt:lpstr>Today_26-02-25</vt:lpstr>
      <vt:lpstr>24-02-25</vt:lpstr>
      <vt:lpstr>25-02-25</vt:lpstr>
      <vt:lpstr>03-02-25</vt:lpstr>
      <vt:lpstr>02-03-25</vt:lpstr>
      <vt:lpstr>01-02-25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device 2</cp:lastModifiedBy>
  <cp:lastPrinted>2025-01-29T15:03:15Z</cp:lastPrinted>
  <dcterms:created xsi:type="dcterms:W3CDTF">2015-06-05T18:17:20Z</dcterms:created>
  <dcterms:modified xsi:type="dcterms:W3CDTF">2025-02-26T06:34:08Z</dcterms:modified>
</cp:coreProperties>
</file>